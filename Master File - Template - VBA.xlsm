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Projects\Fake KDrive\"/>
    </mc:Choice>
  </mc:AlternateContent>
  <xr:revisionPtr revIDLastSave="0" documentId="13_ncr:1_{54DC56E2-3848-4CE0-AA59-5B9FD294AD0A}" xr6:coauthVersionLast="47" xr6:coauthVersionMax="47" xr10:uidLastSave="{00000000-0000-0000-0000-000000000000}"/>
  <bookViews>
    <workbookView xWindow="-120" yWindow="-120" windowWidth="29040" windowHeight="15720" xr2:uid="{89C82DF6-E0AB-4C94-AFEC-8629AB1F8FCD}"/>
  </bookViews>
  <sheets>
    <sheet name="DE-FOA-000XXXX" sheetId="3" r:id="rId1"/>
    <sheet name="Sheet2" sheetId="2" state="hidden" r:id="rId2"/>
  </sheets>
  <functionGroups builtInGroupCount="19"/>
  <definedNames>
    <definedName name="_xlnm._FilterDatabase" localSheetId="0" hidden="1">'DE-FOA-000XXXX'!$A$2:$AS$414</definedName>
    <definedName name="_xlnm.Print_Area" localSheetId="0">'DE-FOA-000XXXX'!$A$2:$E$92</definedName>
    <definedName name="valuevx">42.314159</definedName>
    <definedName name="vertex42_copyright" hidden="1">"© 2004-2011 Vertex42 LLC"</definedName>
    <definedName name="vertex42_id" hidden="1">"Project_TimeLine.xls"</definedName>
    <definedName name="vertex42_title" hidden="1">"Excel Timeline Template"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14" i="3" l="1" a="1"/>
  <c r="J414" i="3" s="1"/>
  <c r="J413" i="3" a="1"/>
  <c r="J413" i="3" s="1"/>
  <c r="J412" i="3" a="1"/>
  <c r="J412" i="3" s="1"/>
  <c r="J411" i="3" a="1"/>
  <c r="J411" i="3" s="1"/>
  <c r="J410" i="3" a="1"/>
  <c r="J410" i="3" s="1"/>
  <c r="J409" i="3" a="1"/>
  <c r="J409" i="3" s="1"/>
  <c r="J408" i="3" a="1"/>
  <c r="J408" i="3" s="1"/>
  <c r="J407" i="3" a="1"/>
  <c r="J407" i="3" s="1"/>
  <c r="J406" i="3" a="1"/>
  <c r="J406" i="3" s="1"/>
  <c r="J405" i="3" a="1"/>
  <c r="J405" i="3" s="1"/>
  <c r="J404" i="3" a="1"/>
  <c r="J404" i="3" s="1"/>
  <c r="J403" i="3" a="1"/>
  <c r="J403" i="3" s="1"/>
  <c r="J402" i="3" a="1"/>
  <c r="J402" i="3" s="1"/>
  <c r="J401" i="3" a="1"/>
  <c r="J401" i="3" s="1"/>
  <c r="J400" i="3" a="1"/>
  <c r="J400" i="3" s="1"/>
  <c r="J399" i="3" a="1"/>
  <c r="J399" i="3" s="1"/>
  <c r="J398" i="3" a="1"/>
  <c r="J398" i="3" s="1"/>
  <c r="J397" i="3" a="1"/>
  <c r="J397" i="3" s="1"/>
  <c r="J396" i="3" a="1"/>
  <c r="J396" i="3" s="1"/>
  <c r="J395" i="3" a="1"/>
  <c r="J395" i="3" s="1"/>
  <c r="J394" i="3" a="1"/>
  <c r="J394" i="3" s="1"/>
  <c r="J393" i="3" a="1"/>
  <c r="J393" i="3" s="1"/>
  <c r="J392" i="3" a="1"/>
  <c r="J392" i="3" s="1"/>
  <c r="J391" i="3" a="1"/>
  <c r="J391" i="3" s="1"/>
  <c r="J390" i="3" a="1"/>
  <c r="J390" i="3" s="1"/>
  <c r="J389" i="3" a="1"/>
  <c r="J389" i="3" s="1"/>
  <c r="J388" i="3" a="1"/>
  <c r="J388" i="3" s="1"/>
  <c r="J387" i="3" a="1"/>
  <c r="J387" i="3" s="1"/>
  <c r="J386" i="3" a="1"/>
  <c r="J386" i="3" s="1"/>
  <c r="J385" i="3" a="1"/>
  <c r="J385" i="3" s="1"/>
  <c r="J384" i="3" a="1"/>
  <c r="J384" i="3" s="1"/>
  <c r="J383" i="3" a="1"/>
  <c r="J383" i="3" s="1"/>
  <c r="J382" i="3" a="1"/>
  <c r="J382" i="3" s="1"/>
  <c r="J381" i="3" a="1"/>
  <c r="J381" i="3" s="1"/>
  <c r="J380" i="3" a="1"/>
  <c r="J380" i="3" s="1"/>
  <c r="J379" i="3" a="1"/>
  <c r="J379" i="3" s="1"/>
  <c r="J378" i="3" a="1"/>
  <c r="J378" i="3" s="1"/>
  <c r="J377" i="3" a="1"/>
  <c r="J377" i="3" s="1"/>
  <c r="J376" i="3" a="1"/>
  <c r="J376" i="3" s="1"/>
  <c r="J375" i="3" a="1"/>
  <c r="J375" i="3" s="1"/>
  <c r="J374" i="3" a="1"/>
  <c r="J374" i="3" s="1"/>
  <c r="J373" i="3" a="1"/>
  <c r="J373" i="3" s="1"/>
  <c r="J372" i="3" a="1"/>
  <c r="J372" i="3" s="1"/>
  <c r="J371" i="3" a="1"/>
  <c r="J371" i="3" s="1"/>
  <c r="J370" i="3" a="1"/>
  <c r="J370" i="3" s="1"/>
  <c r="J369" i="3" a="1"/>
  <c r="J369" i="3" s="1"/>
  <c r="J368" i="3" a="1"/>
  <c r="J368" i="3" s="1"/>
  <c r="J367" i="3" a="1"/>
  <c r="J367" i="3" s="1"/>
  <c r="J366" i="3" a="1"/>
  <c r="J366" i="3" s="1"/>
  <c r="J365" i="3" a="1"/>
  <c r="J365" i="3" s="1"/>
  <c r="J364" i="3" a="1"/>
  <c r="J364" i="3" s="1"/>
  <c r="J363" i="3" a="1"/>
  <c r="J363" i="3" s="1"/>
  <c r="J362" i="3" a="1"/>
  <c r="J362" i="3" s="1"/>
  <c r="J361" i="3" a="1"/>
  <c r="J361" i="3" s="1"/>
  <c r="J360" i="3" a="1"/>
  <c r="J360" i="3" s="1"/>
  <c r="J359" i="3" a="1"/>
  <c r="J359" i="3" s="1"/>
  <c r="J358" i="3" a="1"/>
  <c r="J358" i="3" s="1"/>
  <c r="J357" i="3" a="1"/>
  <c r="J357" i="3" s="1"/>
  <c r="J356" i="3" a="1"/>
  <c r="J356" i="3" s="1"/>
  <c r="J355" i="3" a="1"/>
  <c r="J355" i="3" s="1"/>
  <c r="J354" i="3" a="1"/>
  <c r="J354" i="3" s="1"/>
  <c r="J353" i="3" a="1"/>
  <c r="J353" i="3" s="1"/>
  <c r="J352" i="3" a="1"/>
  <c r="J352" i="3" s="1"/>
  <c r="J351" i="3" a="1"/>
  <c r="J351" i="3" s="1"/>
  <c r="J350" i="3" a="1"/>
  <c r="J350" i="3" s="1"/>
  <c r="J349" i="3" a="1"/>
  <c r="J349" i="3" s="1"/>
  <c r="J348" i="3" a="1"/>
  <c r="J348" i="3" s="1"/>
  <c r="J347" i="3" a="1"/>
  <c r="J347" i="3" s="1"/>
  <c r="J346" i="3" a="1"/>
  <c r="J346" i="3" s="1"/>
  <c r="J345" i="3" a="1"/>
  <c r="J345" i="3" s="1"/>
  <c r="J344" i="3" a="1"/>
  <c r="J344" i="3" s="1"/>
  <c r="J343" i="3" a="1"/>
  <c r="J343" i="3" s="1"/>
  <c r="J342" i="3" a="1"/>
  <c r="J342" i="3" s="1"/>
  <c r="J341" i="3" a="1"/>
  <c r="J341" i="3" s="1"/>
  <c r="J340" i="3" a="1"/>
  <c r="J340" i="3" s="1"/>
  <c r="J339" i="3" a="1"/>
  <c r="J339" i="3" s="1"/>
  <c r="J338" i="3" a="1"/>
  <c r="J338" i="3" s="1"/>
  <c r="J337" i="3" a="1"/>
  <c r="J337" i="3" s="1"/>
  <c r="J336" i="3" a="1"/>
  <c r="J336" i="3" s="1"/>
  <c r="J335" i="3" a="1"/>
  <c r="J335" i="3" s="1"/>
  <c r="J334" i="3" a="1"/>
  <c r="J334" i="3" s="1"/>
  <c r="J333" i="3" a="1"/>
  <c r="J333" i="3" s="1"/>
  <c r="J332" i="3" a="1"/>
  <c r="J332" i="3" s="1"/>
  <c r="J331" i="3" a="1"/>
  <c r="J331" i="3" s="1"/>
  <c r="J330" i="3" a="1"/>
  <c r="J330" i="3" s="1"/>
  <c r="J329" i="3" a="1"/>
  <c r="J329" i="3" s="1"/>
  <c r="J328" i="3" a="1"/>
  <c r="J328" i="3" s="1"/>
  <c r="J327" i="3" a="1"/>
  <c r="J327" i="3" s="1"/>
  <c r="J326" i="3" a="1"/>
  <c r="J326" i="3" s="1"/>
  <c r="J325" i="3" a="1"/>
  <c r="J325" i="3" s="1"/>
  <c r="J324" i="3" a="1"/>
  <c r="J324" i="3" s="1"/>
  <c r="J323" i="3" a="1"/>
  <c r="J323" i="3" s="1"/>
  <c r="J322" i="3" a="1"/>
  <c r="J322" i="3" s="1"/>
  <c r="J321" i="3" a="1"/>
  <c r="J321" i="3" s="1"/>
  <c r="U414" i="3" a="1"/>
  <c r="U414" i="3" s="1"/>
  <c r="T414" i="3" a="1"/>
  <c r="T414" i="3" s="1"/>
  <c r="S414" i="3" a="1"/>
  <c r="S414" i="3" s="1"/>
  <c r="R414" i="3" a="1"/>
  <c r="R414" i="3" s="1"/>
  <c r="Q414" i="3" a="1"/>
  <c r="Q414" i="3" s="1"/>
  <c r="P414" i="3" a="1"/>
  <c r="P414" i="3" s="1"/>
  <c r="O414" i="3" a="1"/>
  <c r="O414" i="3" s="1"/>
  <c r="L414" i="3"/>
  <c r="L414" i="3" a="1"/>
  <c r="K414" i="3" a="1"/>
  <c r="K414" i="3" s="1"/>
  <c r="U413" i="3" a="1"/>
  <c r="U413" i="3" s="1"/>
  <c r="T413" i="3" a="1"/>
  <c r="T413" i="3" s="1"/>
  <c r="S413" i="3" a="1"/>
  <c r="S413" i="3" s="1"/>
  <c r="R413" i="3" a="1"/>
  <c r="R413" i="3" s="1"/>
  <c r="Q413" i="3" a="1"/>
  <c r="Q413" i="3" s="1"/>
  <c r="P413" i="3" a="1"/>
  <c r="P413" i="3" s="1"/>
  <c r="O413" i="3" a="1"/>
  <c r="O413" i="3" s="1"/>
  <c r="L413" i="3" a="1"/>
  <c r="L413" i="3" s="1"/>
  <c r="K413" i="3" a="1"/>
  <c r="K413" i="3" s="1"/>
  <c r="U412" i="3" a="1"/>
  <c r="U412" i="3" s="1"/>
  <c r="T412" i="3" a="1"/>
  <c r="T412" i="3" s="1"/>
  <c r="S412" i="3" a="1"/>
  <c r="S412" i="3" s="1"/>
  <c r="R412" i="3" a="1"/>
  <c r="R412" i="3" s="1"/>
  <c r="Q412" i="3"/>
  <c r="Q412" i="3" a="1"/>
  <c r="P412" i="3" a="1"/>
  <c r="P412" i="3" s="1"/>
  <c r="O412" i="3" a="1"/>
  <c r="O412" i="3" s="1"/>
  <c r="L412" i="3" a="1"/>
  <c r="L412" i="3" s="1"/>
  <c r="K412" i="3"/>
  <c r="K412" i="3" a="1"/>
  <c r="U411" i="3" a="1"/>
  <c r="U411" i="3" s="1"/>
  <c r="T411" i="3" a="1"/>
  <c r="T411" i="3" s="1"/>
  <c r="S411" i="3" a="1"/>
  <c r="S411" i="3" s="1"/>
  <c r="R411" i="3" a="1"/>
  <c r="R411" i="3" s="1"/>
  <c r="Q411" i="3" a="1"/>
  <c r="Q411" i="3" s="1"/>
  <c r="P411" i="3" a="1"/>
  <c r="P411" i="3" s="1"/>
  <c r="O411" i="3" a="1"/>
  <c r="O411" i="3" s="1"/>
  <c r="L411" i="3" a="1"/>
  <c r="L411" i="3" s="1"/>
  <c r="K411" i="3" a="1"/>
  <c r="K411" i="3" s="1"/>
  <c r="U410" i="3" a="1"/>
  <c r="U410" i="3" s="1"/>
  <c r="T410" i="3" a="1"/>
  <c r="T410" i="3" s="1"/>
  <c r="S410" i="3" a="1"/>
  <c r="S410" i="3" s="1"/>
  <c r="R410" i="3" a="1"/>
  <c r="R410" i="3" s="1"/>
  <c r="Q410" i="3" a="1"/>
  <c r="Q410" i="3" s="1"/>
  <c r="P410" i="3" a="1"/>
  <c r="P410" i="3" s="1"/>
  <c r="O410" i="3" a="1"/>
  <c r="O410" i="3" s="1"/>
  <c r="L410" i="3" a="1"/>
  <c r="L410" i="3" s="1"/>
  <c r="K410" i="3" a="1"/>
  <c r="K410" i="3" s="1"/>
  <c r="U409" i="3" a="1"/>
  <c r="U409" i="3" s="1"/>
  <c r="T409" i="3" a="1"/>
  <c r="T409" i="3" s="1"/>
  <c r="S409" i="3" a="1"/>
  <c r="S409" i="3" s="1"/>
  <c r="R409" i="3" a="1"/>
  <c r="R409" i="3" s="1"/>
  <c r="Q409" i="3" a="1"/>
  <c r="Q409" i="3" s="1"/>
  <c r="P409" i="3" a="1"/>
  <c r="P409" i="3" s="1"/>
  <c r="O409" i="3" a="1"/>
  <c r="O409" i="3" s="1"/>
  <c r="L409" i="3" a="1"/>
  <c r="L409" i="3" s="1"/>
  <c r="K409" i="3" a="1"/>
  <c r="K409" i="3" s="1"/>
  <c r="U408" i="3" a="1"/>
  <c r="U408" i="3" s="1"/>
  <c r="T408" i="3" a="1"/>
  <c r="T408" i="3" s="1"/>
  <c r="S408" i="3" a="1"/>
  <c r="S408" i="3" s="1"/>
  <c r="R408" i="3" a="1"/>
  <c r="R408" i="3" s="1"/>
  <c r="Q408" i="3" a="1"/>
  <c r="Q408" i="3" s="1"/>
  <c r="P408" i="3" a="1"/>
  <c r="P408" i="3" s="1"/>
  <c r="O408" i="3" a="1"/>
  <c r="O408" i="3" s="1"/>
  <c r="L408" i="3" a="1"/>
  <c r="L408" i="3" s="1"/>
  <c r="K408" i="3" a="1"/>
  <c r="K408" i="3" s="1"/>
  <c r="U407" i="3" a="1"/>
  <c r="U407" i="3" s="1"/>
  <c r="T407" i="3"/>
  <c r="T407" i="3" a="1"/>
  <c r="S407" i="3" a="1"/>
  <c r="S407" i="3" s="1"/>
  <c r="R407" i="3" a="1"/>
  <c r="R407" i="3" s="1"/>
  <c r="Q407" i="3" a="1"/>
  <c r="Q407" i="3" s="1"/>
  <c r="P407" i="3" a="1"/>
  <c r="P407" i="3" s="1"/>
  <c r="O407" i="3" a="1"/>
  <c r="O407" i="3" s="1"/>
  <c r="L407" i="3" a="1"/>
  <c r="L407" i="3" s="1"/>
  <c r="K407" i="3" a="1"/>
  <c r="K407" i="3" s="1"/>
  <c r="U406" i="3" a="1"/>
  <c r="U406" i="3" s="1"/>
  <c r="T406" i="3"/>
  <c r="T406" i="3" a="1"/>
  <c r="S406" i="3" a="1"/>
  <c r="S406" i="3" s="1"/>
  <c r="R406" i="3" a="1"/>
  <c r="R406" i="3" s="1"/>
  <c r="Q406" i="3" a="1"/>
  <c r="Q406" i="3" s="1"/>
  <c r="P406" i="3" a="1"/>
  <c r="P406" i="3" s="1"/>
  <c r="O406" i="3" a="1"/>
  <c r="O406" i="3" s="1"/>
  <c r="L406" i="3" a="1"/>
  <c r="L406" i="3" s="1"/>
  <c r="K406" i="3" a="1"/>
  <c r="K406" i="3" s="1"/>
  <c r="U405" i="3" a="1"/>
  <c r="U405" i="3" s="1"/>
  <c r="T405" i="3" a="1"/>
  <c r="T405" i="3" s="1"/>
  <c r="S405" i="3" a="1"/>
  <c r="S405" i="3" s="1"/>
  <c r="R405" i="3" a="1"/>
  <c r="R405" i="3" s="1"/>
  <c r="Q405" i="3" a="1"/>
  <c r="Q405" i="3" s="1"/>
  <c r="P405" i="3" a="1"/>
  <c r="P405" i="3" s="1"/>
  <c r="O405" i="3"/>
  <c r="O405" i="3" a="1"/>
  <c r="L405" i="3" a="1"/>
  <c r="L405" i="3" s="1"/>
  <c r="K405" i="3" a="1"/>
  <c r="K405" i="3" s="1"/>
  <c r="U404" i="3" a="1"/>
  <c r="U404" i="3" s="1"/>
  <c r="T404" i="3" a="1"/>
  <c r="T404" i="3" s="1"/>
  <c r="S404" i="3" a="1"/>
  <c r="S404" i="3" s="1"/>
  <c r="R404" i="3" a="1"/>
  <c r="R404" i="3" s="1"/>
  <c r="Q404" i="3" a="1"/>
  <c r="Q404" i="3" s="1"/>
  <c r="P404" i="3" a="1"/>
  <c r="P404" i="3" s="1"/>
  <c r="O404" i="3" a="1"/>
  <c r="O404" i="3" s="1"/>
  <c r="L404" i="3"/>
  <c r="L404" i="3" a="1"/>
  <c r="K404" i="3" a="1"/>
  <c r="K404" i="3" s="1"/>
  <c r="U403" i="3" a="1"/>
  <c r="U403" i="3" s="1"/>
  <c r="T403" i="3" a="1"/>
  <c r="T403" i="3" s="1"/>
  <c r="S403" i="3" a="1"/>
  <c r="S403" i="3" s="1"/>
  <c r="R403" i="3" a="1"/>
  <c r="R403" i="3" s="1"/>
  <c r="Q403" i="3" a="1"/>
  <c r="Q403" i="3" s="1"/>
  <c r="P403" i="3" a="1"/>
  <c r="P403" i="3" s="1"/>
  <c r="O403" i="3" a="1"/>
  <c r="O403" i="3" s="1"/>
  <c r="L403" i="3" a="1"/>
  <c r="L403" i="3" s="1"/>
  <c r="K403" i="3" a="1"/>
  <c r="K403" i="3" s="1"/>
  <c r="U402" i="3" a="1"/>
  <c r="U402" i="3" s="1"/>
  <c r="T402" i="3" a="1"/>
  <c r="T402" i="3" s="1"/>
  <c r="S402" i="3" a="1"/>
  <c r="S402" i="3" s="1"/>
  <c r="R402" i="3" a="1"/>
  <c r="R402" i="3" s="1"/>
  <c r="Q402" i="3" a="1"/>
  <c r="Q402" i="3" s="1"/>
  <c r="P402" i="3" a="1"/>
  <c r="P402" i="3" s="1"/>
  <c r="O402" i="3" a="1"/>
  <c r="O402" i="3" s="1"/>
  <c r="L402" i="3" a="1"/>
  <c r="L402" i="3" s="1"/>
  <c r="K402" i="3"/>
  <c r="K402" i="3" a="1"/>
  <c r="U401" i="3" a="1"/>
  <c r="U401" i="3" s="1"/>
  <c r="T401" i="3" a="1"/>
  <c r="T401" i="3" s="1"/>
  <c r="S401" i="3" a="1"/>
  <c r="S401" i="3" s="1"/>
  <c r="R401" i="3" a="1"/>
  <c r="R401" i="3" s="1"/>
  <c r="Q401" i="3" a="1"/>
  <c r="Q401" i="3" s="1"/>
  <c r="P401" i="3" a="1"/>
  <c r="P401" i="3" s="1"/>
  <c r="O401" i="3" a="1"/>
  <c r="O401" i="3" s="1"/>
  <c r="L401" i="3" a="1"/>
  <c r="L401" i="3" s="1"/>
  <c r="K401" i="3" a="1"/>
  <c r="K401" i="3" s="1"/>
  <c r="U400" i="3" a="1"/>
  <c r="U400" i="3" s="1"/>
  <c r="T400" i="3" a="1"/>
  <c r="T400" i="3" s="1"/>
  <c r="S400" i="3" a="1"/>
  <c r="S400" i="3" s="1"/>
  <c r="R400" i="3" a="1"/>
  <c r="R400" i="3" s="1"/>
  <c r="Q400" i="3" a="1"/>
  <c r="Q400" i="3" s="1"/>
  <c r="P400" i="3" a="1"/>
  <c r="P400" i="3" s="1"/>
  <c r="O400" i="3" a="1"/>
  <c r="O400" i="3" s="1"/>
  <c r="L400" i="3" a="1"/>
  <c r="L400" i="3" s="1"/>
  <c r="K400" i="3" a="1"/>
  <c r="K400" i="3" s="1"/>
  <c r="U399" i="3" a="1"/>
  <c r="U399" i="3" s="1"/>
  <c r="T399" i="3" a="1"/>
  <c r="T399" i="3" s="1"/>
  <c r="S399" i="3" a="1"/>
  <c r="S399" i="3" s="1"/>
  <c r="R399" i="3" a="1"/>
  <c r="R399" i="3" s="1"/>
  <c r="Q399" i="3" a="1"/>
  <c r="Q399" i="3" s="1"/>
  <c r="P399" i="3" a="1"/>
  <c r="P399" i="3" s="1"/>
  <c r="O399" i="3" a="1"/>
  <c r="O399" i="3" s="1"/>
  <c r="L399" i="3" a="1"/>
  <c r="L399" i="3" s="1"/>
  <c r="K399" i="3"/>
  <c r="K399" i="3" a="1"/>
  <c r="U398" i="3" a="1"/>
  <c r="U398" i="3" s="1"/>
  <c r="T398" i="3" a="1"/>
  <c r="T398" i="3" s="1"/>
  <c r="S398" i="3" a="1"/>
  <c r="S398" i="3" s="1"/>
  <c r="R398" i="3" a="1"/>
  <c r="R398" i="3" s="1"/>
  <c r="Q398" i="3" a="1"/>
  <c r="Q398" i="3" s="1"/>
  <c r="P398" i="3" a="1"/>
  <c r="P398" i="3" s="1"/>
  <c r="O398" i="3" a="1"/>
  <c r="O398" i="3" s="1"/>
  <c r="L398" i="3" a="1"/>
  <c r="L398" i="3" s="1"/>
  <c r="K398" i="3" a="1"/>
  <c r="K398" i="3" s="1"/>
  <c r="U397" i="3"/>
  <c r="U397" i="3" a="1"/>
  <c r="T397" i="3" a="1"/>
  <c r="T397" i="3" s="1"/>
  <c r="S397" i="3" a="1"/>
  <c r="S397" i="3" s="1"/>
  <c r="R397" i="3" a="1"/>
  <c r="R397" i="3" s="1"/>
  <c r="Q397" i="3" a="1"/>
  <c r="Q397" i="3" s="1"/>
  <c r="P397" i="3" a="1"/>
  <c r="P397" i="3" s="1"/>
  <c r="O397" i="3" a="1"/>
  <c r="O397" i="3" s="1"/>
  <c r="L397" i="3" a="1"/>
  <c r="L397" i="3" s="1"/>
  <c r="K397" i="3" a="1"/>
  <c r="K397" i="3" s="1"/>
  <c r="U396" i="3" a="1"/>
  <c r="U396" i="3" s="1"/>
  <c r="T396" i="3" a="1"/>
  <c r="T396" i="3" s="1"/>
  <c r="S396" i="3" a="1"/>
  <c r="S396" i="3" s="1"/>
  <c r="R396" i="3" a="1"/>
  <c r="R396" i="3" s="1"/>
  <c r="Q396" i="3" a="1"/>
  <c r="Q396" i="3" s="1"/>
  <c r="P396" i="3" a="1"/>
  <c r="P396" i="3" s="1"/>
  <c r="O396" i="3" a="1"/>
  <c r="O396" i="3" s="1"/>
  <c r="L396" i="3" a="1"/>
  <c r="L396" i="3" s="1"/>
  <c r="K396" i="3" a="1"/>
  <c r="K396" i="3" s="1"/>
  <c r="U395" i="3" a="1"/>
  <c r="U395" i="3" s="1"/>
  <c r="T395" i="3" a="1"/>
  <c r="T395" i="3" s="1"/>
  <c r="S395" i="3" a="1"/>
  <c r="S395" i="3" s="1"/>
  <c r="R395" i="3"/>
  <c r="R395" i="3" a="1"/>
  <c r="Q395" i="3" a="1"/>
  <c r="Q395" i="3" s="1"/>
  <c r="P395" i="3" a="1"/>
  <c r="P395" i="3" s="1"/>
  <c r="O395" i="3" a="1"/>
  <c r="O395" i="3" s="1"/>
  <c r="L395" i="3" a="1"/>
  <c r="L395" i="3" s="1"/>
  <c r="K395" i="3" a="1"/>
  <c r="K395" i="3" s="1"/>
  <c r="U394" i="3" a="1"/>
  <c r="U394" i="3" s="1"/>
  <c r="T394" i="3" a="1"/>
  <c r="T394" i="3" s="1"/>
  <c r="S394" i="3" a="1"/>
  <c r="S394" i="3" s="1"/>
  <c r="R394" i="3" a="1"/>
  <c r="R394" i="3" s="1"/>
  <c r="Q394" i="3" a="1"/>
  <c r="Q394" i="3" s="1"/>
  <c r="P394" i="3" a="1"/>
  <c r="P394" i="3" s="1"/>
  <c r="O394" i="3" a="1"/>
  <c r="O394" i="3" s="1"/>
  <c r="L394" i="3" a="1"/>
  <c r="L394" i="3" s="1"/>
  <c r="K394" i="3" a="1"/>
  <c r="K394" i="3" s="1"/>
  <c r="U393" i="3" a="1"/>
  <c r="U393" i="3" s="1"/>
  <c r="T393" i="3" a="1"/>
  <c r="T393" i="3" s="1"/>
  <c r="S393" i="3" a="1"/>
  <c r="S393" i="3" s="1"/>
  <c r="R393" i="3" a="1"/>
  <c r="R393" i="3" s="1"/>
  <c r="Q393" i="3" a="1"/>
  <c r="Q393" i="3" s="1"/>
  <c r="P393" i="3"/>
  <c r="P393" i="3" a="1"/>
  <c r="O393" i="3" a="1"/>
  <c r="O393" i="3" s="1"/>
  <c r="L393" i="3" a="1"/>
  <c r="L393" i="3" s="1"/>
  <c r="K393" i="3" a="1"/>
  <c r="K393" i="3" s="1"/>
  <c r="U392" i="3" a="1"/>
  <c r="U392" i="3" s="1"/>
  <c r="T392" i="3" a="1"/>
  <c r="T392" i="3" s="1"/>
  <c r="S392" i="3" a="1"/>
  <c r="S392" i="3" s="1"/>
  <c r="R392" i="3" a="1"/>
  <c r="R392" i="3" s="1"/>
  <c r="Q392" i="3" a="1"/>
  <c r="Q392" i="3" s="1"/>
  <c r="P392" i="3" a="1"/>
  <c r="P392" i="3" s="1"/>
  <c r="O392" i="3" a="1"/>
  <c r="O392" i="3" s="1"/>
  <c r="L392" i="3" a="1"/>
  <c r="L392" i="3" s="1"/>
  <c r="K392" i="3" a="1"/>
  <c r="K392" i="3" s="1"/>
  <c r="U391" i="3" a="1"/>
  <c r="U391" i="3" s="1"/>
  <c r="T391" i="3" a="1"/>
  <c r="T391" i="3" s="1"/>
  <c r="S391" i="3"/>
  <c r="S391" i="3" a="1"/>
  <c r="R391" i="3" a="1"/>
  <c r="R391" i="3" s="1"/>
  <c r="Q391" i="3" a="1"/>
  <c r="Q391" i="3" s="1"/>
  <c r="P391" i="3" a="1"/>
  <c r="P391" i="3" s="1"/>
  <c r="O391" i="3" a="1"/>
  <c r="O391" i="3" s="1"/>
  <c r="L391" i="3" a="1"/>
  <c r="L391" i="3" s="1"/>
  <c r="K391" i="3" a="1"/>
  <c r="K391" i="3" s="1"/>
  <c r="U390" i="3" a="1"/>
  <c r="U390" i="3" s="1"/>
  <c r="T390" i="3" a="1"/>
  <c r="T390" i="3" s="1"/>
  <c r="S390" i="3" a="1"/>
  <c r="S390" i="3" s="1"/>
  <c r="R390" i="3" a="1"/>
  <c r="R390" i="3" s="1"/>
  <c r="Q390" i="3"/>
  <c r="Q390" i="3" a="1"/>
  <c r="P390" i="3" a="1"/>
  <c r="P390" i="3" s="1"/>
  <c r="O390" i="3" a="1"/>
  <c r="O390" i="3" s="1"/>
  <c r="L390" i="3" a="1"/>
  <c r="L390" i="3" s="1"/>
  <c r="K390" i="3"/>
  <c r="K390" i="3" a="1"/>
  <c r="U389" i="3" a="1"/>
  <c r="U389" i="3" s="1"/>
  <c r="T389" i="3" a="1"/>
  <c r="T389" i="3" s="1"/>
  <c r="S389" i="3" a="1"/>
  <c r="S389" i="3" s="1"/>
  <c r="R389" i="3" a="1"/>
  <c r="R389" i="3" s="1"/>
  <c r="Q389" i="3" a="1"/>
  <c r="Q389" i="3" s="1"/>
  <c r="P389" i="3" a="1"/>
  <c r="P389" i="3" s="1"/>
  <c r="O389" i="3" a="1"/>
  <c r="O389" i="3" s="1"/>
  <c r="L389" i="3" a="1"/>
  <c r="L389" i="3" s="1"/>
  <c r="K389" i="3" a="1"/>
  <c r="K389" i="3" s="1"/>
  <c r="U388" i="3" a="1"/>
  <c r="U388" i="3" s="1"/>
  <c r="T388" i="3" a="1"/>
  <c r="T388" i="3" s="1"/>
  <c r="S388" i="3" a="1"/>
  <c r="S388" i="3" s="1"/>
  <c r="R388" i="3" a="1"/>
  <c r="R388" i="3" s="1"/>
  <c r="Q388" i="3" a="1"/>
  <c r="Q388" i="3" s="1"/>
  <c r="P388" i="3" a="1"/>
  <c r="P388" i="3" s="1"/>
  <c r="O388" i="3" a="1"/>
  <c r="O388" i="3" s="1"/>
  <c r="L388" i="3" a="1"/>
  <c r="L388" i="3" s="1"/>
  <c r="K388" i="3" a="1"/>
  <c r="K388" i="3" s="1"/>
  <c r="U387" i="3" a="1"/>
  <c r="U387" i="3" s="1"/>
  <c r="T387" i="3" a="1"/>
  <c r="T387" i="3" s="1"/>
  <c r="S387" i="3" a="1"/>
  <c r="S387" i="3" s="1"/>
  <c r="R387" i="3" a="1"/>
  <c r="R387" i="3" s="1"/>
  <c r="Q387" i="3" a="1"/>
  <c r="Q387" i="3" s="1"/>
  <c r="P387" i="3"/>
  <c r="P387" i="3" a="1"/>
  <c r="O387" i="3" a="1"/>
  <c r="O387" i="3" s="1"/>
  <c r="L387" i="3" a="1"/>
  <c r="L387" i="3" s="1"/>
  <c r="K387" i="3" a="1"/>
  <c r="K387" i="3" s="1"/>
  <c r="U386" i="3" a="1"/>
  <c r="U386" i="3" s="1"/>
  <c r="T386" i="3" a="1"/>
  <c r="T386" i="3" s="1"/>
  <c r="S386" i="3" a="1"/>
  <c r="S386" i="3" s="1"/>
  <c r="R386" i="3" a="1"/>
  <c r="R386" i="3" s="1"/>
  <c r="Q386" i="3" a="1"/>
  <c r="Q386" i="3" s="1"/>
  <c r="P386" i="3" a="1"/>
  <c r="P386" i="3" s="1"/>
  <c r="O386" i="3" a="1"/>
  <c r="O386" i="3" s="1"/>
  <c r="L386" i="3" a="1"/>
  <c r="L386" i="3" s="1"/>
  <c r="K386" i="3" a="1"/>
  <c r="K386" i="3" s="1"/>
  <c r="U385" i="3" a="1"/>
  <c r="U385" i="3" s="1"/>
  <c r="T385" i="3" a="1"/>
  <c r="T385" i="3" s="1"/>
  <c r="S385" i="3"/>
  <c r="S385" i="3" a="1"/>
  <c r="R385" i="3" a="1"/>
  <c r="R385" i="3" s="1"/>
  <c r="Q385" i="3" a="1"/>
  <c r="Q385" i="3" s="1"/>
  <c r="P385" i="3" a="1"/>
  <c r="P385" i="3" s="1"/>
  <c r="O385" i="3" a="1"/>
  <c r="O385" i="3" s="1"/>
  <c r="L385" i="3" a="1"/>
  <c r="L385" i="3" s="1"/>
  <c r="K385" i="3" a="1"/>
  <c r="K385" i="3" s="1"/>
  <c r="U384" i="3" a="1"/>
  <c r="U384" i="3" s="1"/>
  <c r="T384" i="3" a="1"/>
  <c r="T384" i="3" s="1"/>
  <c r="S384" i="3" a="1"/>
  <c r="S384" i="3" s="1"/>
  <c r="R384" i="3" a="1"/>
  <c r="R384" i="3" s="1"/>
  <c r="Q384" i="3"/>
  <c r="Q384" i="3" a="1"/>
  <c r="P384" i="3" a="1"/>
  <c r="P384" i="3" s="1"/>
  <c r="O384" i="3" a="1"/>
  <c r="O384" i="3" s="1"/>
  <c r="L384" i="3" a="1"/>
  <c r="L384" i="3" s="1"/>
  <c r="K384" i="3"/>
  <c r="K384" i="3" a="1"/>
  <c r="U383" i="3" a="1"/>
  <c r="U383" i="3" s="1"/>
  <c r="T383" i="3" a="1"/>
  <c r="T383" i="3" s="1"/>
  <c r="S383" i="3" a="1"/>
  <c r="S383" i="3" s="1"/>
  <c r="R383" i="3" a="1"/>
  <c r="R383" i="3" s="1"/>
  <c r="Q383" i="3" a="1"/>
  <c r="Q383" i="3" s="1"/>
  <c r="P383" i="3" a="1"/>
  <c r="P383" i="3" s="1"/>
  <c r="O383" i="3" a="1"/>
  <c r="O383" i="3" s="1"/>
  <c r="L383" i="3" a="1"/>
  <c r="L383" i="3" s="1"/>
  <c r="K383" i="3" a="1"/>
  <c r="K383" i="3" s="1"/>
  <c r="U382" i="3" a="1"/>
  <c r="U382" i="3" s="1"/>
  <c r="T382" i="3" a="1"/>
  <c r="T382" i="3" s="1"/>
  <c r="S382" i="3" a="1"/>
  <c r="S382" i="3" s="1"/>
  <c r="R382" i="3" a="1"/>
  <c r="R382" i="3" s="1"/>
  <c r="Q382" i="3" a="1"/>
  <c r="Q382" i="3" s="1"/>
  <c r="P382" i="3" a="1"/>
  <c r="P382" i="3" s="1"/>
  <c r="O382" i="3" a="1"/>
  <c r="O382" i="3" s="1"/>
  <c r="L382" i="3" a="1"/>
  <c r="L382" i="3" s="1"/>
  <c r="K382" i="3" a="1"/>
  <c r="K382" i="3" s="1"/>
  <c r="U381" i="3" a="1"/>
  <c r="U381" i="3" s="1"/>
  <c r="T381" i="3" a="1"/>
  <c r="T381" i="3" s="1"/>
  <c r="S381" i="3" a="1"/>
  <c r="S381" i="3" s="1"/>
  <c r="R381" i="3" a="1"/>
  <c r="R381" i="3" s="1"/>
  <c r="Q381" i="3" a="1"/>
  <c r="Q381" i="3" s="1"/>
  <c r="P381" i="3" a="1"/>
  <c r="P381" i="3" s="1"/>
  <c r="O381" i="3" a="1"/>
  <c r="O381" i="3" s="1"/>
  <c r="L381" i="3" a="1"/>
  <c r="L381" i="3" s="1"/>
  <c r="K381" i="3" a="1"/>
  <c r="K381" i="3" s="1"/>
  <c r="U380" i="3" a="1"/>
  <c r="U380" i="3" s="1"/>
  <c r="T380" i="3" a="1"/>
  <c r="T380" i="3" s="1"/>
  <c r="S380" i="3" a="1"/>
  <c r="S380" i="3" s="1"/>
  <c r="R380" i="3" a="1"/>
  <c r="R380" i="3" s="1"/>
  <c r="Q380" i="3" a="1"/>
  <c r="Q380" i="3" s="1"/>
  <c r="P380" i="3" a="1"/>
  <c r="P380" i="3" s="1"/>
  <c r="O380" i="3" a="1"/>
  <c r="O380" i="3" s="1"/>
  <c r="L380" i="3" a="1"/>
  <c r="L380" i="3" s="1"/>
  <c r="K380" i="3" a="1"/>
  <c r="K380" i="3" s="1"/>
  <c r="U379" i="3" a="1"/>
  <c r="U379" i="3" s="1"/>
  <c r="T379" i="3" a="1"/>
  <c r="T379" i="3" s="1"/>
  <c r="S379" i="3" a="1"/>
  <c r="S379" i="3" s="1"/>
  <c r="R379" i="3" a="1"/>
  <c r="R379" i="3" s="1"/>
  <c r="Q379" i="3" a="1"/>
  <c r="Q379" i="3" s="1"/>
  <c r="P379" i="3" a="1"/>
  <c r="P379" i="3" s="1"/>
  <c r="O379" i="3" a="1"/>
  <c r="O379" i="3" s="1"/>
  <c r="L379" i="3" a="1"/>
  <c r="L379" i="3" s="1"/>
  <c r="K379" i="3" a="1"/>
  <c r="K379" i="3" s="1"/>
  <c r="U378" i="3" a="1"/>
  <c r="U378" i="3" s="1"/>
  <c r="T378" i="3"/>
  <c r="T378" i="3" a="1"/>
  <c r="S378" i="3" a="1"/>
  <c r="S378" i="3" s="1"/>
  <c r="R378" i="3" a="1"/>
  <c r="R378" i="3" s="1"/>
  <c r="Q378" i="3" a="1"/>
  <c r="Q378" i="3" s="1"/>
  <c r="P378" i="3" a="1"/>
  <c r="P378" i="3" s="1"/>
  <c r="O378" i="3" a="1"/>
  <c r="O378" i="3" s="1"/>
  <c r="L378" i="3" a="1"/>
  <c r="L378" i="3" s="1"/>
  <c r="K378" i="3" a="1"/>
  <c r="K378" i="3" s="1"/>
  <c r="U377" i="3" a="1"/>
  <c r="U377" i="3" s="1"/>
  <c r="T377" i="3"/>
  <c r="T377" i="3" a="1"/>
  <c r="S377" i="3"/>
  <c r="S377" i="3" a="1"/>
  <c r="R377" i="3" a="1"/>
  <c r="R377" i="3" s="1"/>
  <c r="Q377" i="3" a="1"/>
  <c r="Q377" i="3" s="1"/>
  <c r="P377" i="3" a="1"/>
  <c r="P377" i="3" s="1"/>
  <c r="O377" i="3" a="1"/>
  <c r="O377" i="3" s="1"/>
  <c r="L377" i="3" a="1"/>
  <c r="L377" i="3" s="1"/>
  <c r="K377" i="3" a="1"/>
  <c r="K377" i="3" s="1"/>
  <c r="U376" i="3" a="1"/>
  <c r="U376" i="3" s="1"/>
  <c r="T376" i="3" a="1"/>
  <c r="T376" i="3" s="1"/>
  <c r="S376" i="3" a="1"/>
  <c r="S376" i="3" s="1"/>
  <c r="R376" i="3" a="1"/>
  <c r="R376" i="3" s="1"/>
  <c r="Q376" i="3" a="1"/>
  <c r="Q376" i="3" s="1"/>
  <c r="P376" i="3" a="1"/>
  <c r="P376" i="3" s="1"/>
  <c r="O376" i="3" a="1"/>
  <c r="O376" i="3" s="1"/>
  <c r="L376" i="3" a="1"/>
  <c r="L376" i="3" s="1"/>
  <c r="K376" i="3" a="1"/>
  <c r="K376" i="3" s="1"/>
  <c r="U375" i="3" a="1"/>
  <c r="U375" i="3" s="1"/>
  <c r="T375" i="3" a="1"/>
  <c r="T375" i="3" s="1"/>
  <c r="S375" i="3"/>
  <c r="S375" i="3" a="1"/>
  <c r="R375" i="3" a="1"/>
  <c r="R375" i="3" s="1"/>
  <c r="Q375" i="3" a="1"/>
  <c r="Q375" i="3" s="1"/>
  <c r="P375" i="3" a="1"/>
  <c r="P375" i="3" s="1"/>
  <c r="O375" i="3" a="1"/>
  <c r="O375" i="3" s="1"/>
  <c r="L375" i="3" a="1"/>
  <c r="L375" i="3" s="1"/>
  <c r="K375" i="3" a="1"/>
  <c r="K375" i="3" s="1"/>
  <c r="U374" i="3" a="1"/>
  <c r="U374" i="3" s="1"/>
  <c r="T374" i="3" a="1"/>
  <c r="T374" i="3" s="1"/>
  <c r="S374" i="3" a="1"/>
  <c r="S374" i="3" s="1"/>
  <c r="R374" i="3" a="1"/>
  <c r="R374" i="3" s="1"/>
  <c r="Q374" i="3" a="1"/>
  <c r="Q374" i="3" s="1"/>
  <c r="P374" i="3" a="1"/>
  <c r="P374" i="3" s="1"/>
  <c r="O374" i="3" a="1"/>
  <c r="O374" i="3" s="1"/>
  <c r="L374" i="3" a="1"/>
  <c r="L374" i="3" s="1"/>
  <c r="K374" i="3" a="1"/>
  <c r="K374" i="3" s="1"/>
  <c r="U373" i="3" a="1"/>
  <c r="U373" i="3" s="1"/>
  <c r="T373" i="3"/>
  <c r="T373" i="3" a="1"/>
  <c r="S373" i="3" a="1"/>
  <c r="S373" i="3" s="1"/>
  <c r="R373" i="3" a="1"/>
  <c r="R373" i="3" s="1"/>
  <c r="Q373" i="3" a="1"/>
  <c r="Q373" i="3" s="1"/>
  <c r="P373" i="3" a="1"/>
  <c r="P373" i="3" s="1"/>
  <c r="O373" i="3" a="1"/>
  <c r="O373" i="3" s="1"/>
  <c r="L373" i="3" a="1"/>
  <c r="L373" i="3" s="1"/>
  <c r="K373" i="3" a="1"/>
  <c r="K373" i="3" s="1"/>
  <c r="U372" i="3" a="1"/>
  <c r="U372" i="3" s="1"/>
  <c r="T372" i="3" a="1"/>
  <c r="T372" i="3" s="1"/>
  <c r="S372" i="3" a="1"/>
  <c r="S372" i="3" s="1"/>
  <c r="R372" i="3" a="1"/>
  <c r="R372" i="3" s="1"/>
  <c r="Q372" i="3"/>
  <c r="Q372" i="3" a="1"/>
  <c r="P372" i="3" a="1"/>
  <c r="P372" i="3" s="1"/>
  <c r="O372" i="3" a="1"/>
  <c r="O372" i="3" s="1"/>
  <c r="L372" i="3" a="1"/>
  <c r="L372" i="3" s="1"/>
  <c r="K372" i="3" a="1"/>
  <c r="K372" i="3" s="1"/>
  <c r="U371" i="3" a="1"/>
  <c r="U371" i="3" s="1"/>
  <c r="T371" i="3" a="1"/>
  <c r="T371" i="3" s="1"/>
  <c r="S371" i="3" a="1"/>
  <c r="S371" i="3" s="1"/>
  <c r="R371" i="3" a="1"/>
  <c r="R371" i="3" s="1"/>
  <c r="Q371" i="3" a="1"/>
  <c r="Q371" i="3" s="1"/>
  <c r="P371" i="3" a="1"/>
  <c r="P371" i="3" s="1"/>
  <c r="O371" i="3" a="1"/>
  <c r="O371" i="3" s="1"/>
  <c r="L371" i="3" a="1"/>
  <c r="L371" i="3" s="1"/>
  <c r="K371" i="3" a="1"/>
  <c r="K371" i="3" s="1"/>
  <c r="U370" i="3"/>
  <c r="U370" i="3" a="1"/>
  <c r="T370" i="3" a="1"/>
  <c r="T370" i="3" s="1"/>
  <c r="S370" i="3" a="1"/>
  <c r="S370" i="3" s="1"/>
  <c r="R370" i="3" a="1"/>
  <c r="R370" i="3" s="1"/>
  <c r="Q370" i="3" a="1"/>
  <c r="Q370" i="3" s="1"/>
  <c r="P370" i="3" a="1"/>
  <c r="P370" i="3" s="1"/>
  <c r="O370" i="3" a="1"/>
  <c r="O370" i="3" s="1"/>
  <c r="L370" i="3" a="1"/>
  <c r="L370" i="3" s="1"/>
  <c r="K370" i="3" a="1"/>
  <c r="K370" i="3" s="1"/>
  <c r="U369" i="3"/>
  <c r="U369" i="3" a="1"/>
  <c r="T369" i="3" a="1"/>
  <c r="T369" i="3" s="1"/>
  <c r="S369" i="3" a="1"/>
  <c r="S369" i="3" s="1"/>
  <c r="R369" i="3" a="1"/>
  <c r="R369" i="3" s="1"/>
  <c r="Q369" i="3" a="1"/>
  <c r="Q369" i="3" s="1"/>
  <c r="P369" i="3" a="1"/>
  <c r="P369" i="3" s="1"/>
  <c r="O369" i="3" a="1"/>
  <c r="O369" i="3" s="1"/>
  <c r="L369" i="3" a="1"/>
  <c r="L369" i="3" s="1"/>
  <c r="K369" i="3" a="1"/>
  <c r="K369" i="3" s="1"/>
  <c r="U368" i="3"/>
  <c r="U368" i="3" a="1"/>
  <c r="T368" i="3" a="1"/>
  <c r="T368" i="3" s="1"/>
  <c r="S368" i="3" a="1"/>
  <c r="S368" i="3" s="1"/>
  <c r="R368" i="3" a="1"/>
  <c r="R368" i="3" s="1"/>
  <c r="Q368" i="3" a="1"/>
  <c r="Q368" i="3" s="1"/>
  <c r="P368" i="3" a="1"/>
  <c r="P368" i="3" s="1"/>
  <c r="O368" i="3" a="1"/>
  <c r="O368" i="3" s="1"/>
  <c r="L368" i="3" a="1"/>
  <c r="L368" i="3" s="1"/>
  <c r="K368" i="3" a="1"/>
  <c r="K368" i="3" s="1"/>
  <c r="U367" i="3" a="1"/>
  <c r="U367" i="3" s="1"/>
  <c r="T367" i="3" a="1"/>
  <c r="T367" i="3" s="1"/>
  <c r="S367" i="3" a="1"/>
  <c r="S367" i="3" s="1"/>
  <c r="R367" i="3"/>
  <c r="R367" i="3" a="1"/>
  <c r="Q367" i="3" a="1"/>
  <c r="Q367" i="3" s="1"/>
  <c r="P367" i="3" a="1"/>
  <c r="P367" i="3" s="1"/>
  <c r="O367" i="3" a="1"/>
  <c r="O367" i="3" s="1"/>
  <c r="L367" i="3" a="1"/>
  <c r="L367" i="3" s="1"/>
  <c r="K367" i="3" a="1"/>
  <c r="K367" i="3" s="1"/>
  <c r="U366" i="3" a="1"/>
  <c r="U366" i="3" s="1"/>
  <c r="T366" i="3" a="1"/>
  <c r="T366" i="3" s="1"/>
  <c r="S366" i="3" a="1"/>
  <c r="S366" i="3" s="1"/>
  <c r="R366" i="3" a="1"/>
  <c r="R366" i="3" s="1"/>
  <c r="Q366" i="3" a="1"/>
  <c r="Q366" i="3" s="1"/>
  <c r="P366" i="3" a="1"/>
  <c r="P366" i="3" s="1"/>
  <c r="O366" i="3" a="1"/>
  <c r="O366" i="3" s="1"/>
  <c r="L366" i="3" a="1"/>
  <c r="L366" i="3" s="1"/>
  <c r="K366" i="3" a="1"/>
  <c r="K366" i="3" s="1"/>
  <c r="U365" i="3" a="1"/>
  <c r="U365" i="3" s="1"/>
  <c r="T365" i="3" a="1"/>
  <c r="T365" i="3" s="1"/>
  <c r="S365" i="3" a="1"/>
  <c r="S365" i="3" s="1"/>
  <c r="R365" i="3" a="1"/>
  <c r="R365" i="3" s="1"/>
  <c r="Q365" i="3" a="1"/>
  <c r="Q365" i="3" s="1"/>
  <c r="P365" i="3" a="1"/>
  <c r="P365" i="3" s="1"/>
  <c r="O365" i="3" a="1"/>
  <c r="O365" i="3" s="1"/>
  <c r="L365" i="3" a="1"/>
  <c r="L365" i="3" s="1"/>
  <c r="K365" i="3" a="1"/>
  <c r="K365" i="3" s="1"/>
  <c r="U364" i="3"/>
  <c r="U364" i="3" a="1"/>
  <c r="T364" i="3" a="1"/>
  <c r="T364" i="3" s="1"/>
  <c r="S364" i="3" a="1"/>
  <c r="S364" i="3" s="1"/>
  <c r="R364" i="3" a="1"/>
  <c r="R364" i="3" s="1"/>
  <c r="Q364" i="3" a="1"/>
  <c r="Q364" i="3" s="1"/>
  <c r="P364" i="3" a="1"/>
  <c r="P364" i="3" s="1"/>
  <c r="O364" i="3" a="1"/>
  <c r="O364" i="3" s="1"/>
  <c r="L364" i="3" a="1"/>
  <c r="L364" i="3" s="1"/>
  <c r="K364" i="3" a="1"/>
  <c r="K364" i="3" s="1"/>
  <c r="U363" i="3" a="1"/>
  <c r="U363" i="3" s="1"/>
  <c r="T363" i="3" a="1"/>
  <c r="T363" i="3" s="1"/>
  <c r="S363" i="3" a="1"/>
  <c r="S363" i="3" s="1"/>
  <c r="R363" i="3" a="1"/>
  <c r="R363" i="3" s="1"/>
  <c r="Q363" i="3" a="1"/>
  <c r="Q363" i="3" s="1"/>
  <c r="P363" i="3" a="1"/>
  <c r="P363" i="3" s="1"/>
  <c r="O363" i="3"/>
  <c r="O363" i="3" a="1"/>
  <c r="L363" i="3"/>
  <c r="L363" i="3" a="1"/>
  <c r="K363" i="3" a="1"/>
  <c r="K363" i="3" s="1"/>
  <c r="U362" i="3" a="1"/>
  <c r="U362" i="3" s="1"/>
  <c r="T362" i="3" a="1"/>
  <c r="T362" i="3" s="1"/>
  <c r="S362" i="3" a="1"/>
  <c r="S362" i="3" s="1"/>
  <c r="R362" i="3" a="1"/>
  <c r="R362" i="3" s="1"/>
  <c r="Q362" i="3" a="1"/>
  <c r="Q362" i="3" s="1"/>
  <c r="P362" i="3" a="1"/>
  <c r="P362" i="3" s="1"/>
  <c r="O362" i="3" a="1"/>
  <c r="O362" i="3" s="1"/>
  <c r="L362" i="3" a="1"/>
  <c r="L362" i="3" s="1"/>
  <c r="K362" i="3"/>
  <c r="K362" i="3" a="1"/>
  <c r="U361" i="3" a="1"/>
  <c r="U361" i="3" s="1"/>
  <c r="T361" i="3" a="1"/>
  <c r="T361" i="3" s="1"/>
  <c r="S361" i="3" a="1"/>
  <c r="S361" i="3" s="1"/>
  <c r="R361" i="3" a="1"/>
  <c r="R361" i="3" s="1"/>
  <c r="Q361" i="3" a="1"/>
  <c r="Q361" i="3" s="1"/>
  <c r="P361" i="3" a="1"/>
  <c r="P361" i="3" s="1"/>
  <c r="O361" i="3" a="1"/>
  <c r="O361" i="3" s="1"/>
  <c r="L361" i="3" a="1"/>
  <c r="L361" i="3" s="1"/>
  <c r="K361" i="3" a="1"/>
  <c r="K361" i="3" s="1"/>
  <c r="U360" i="3" a="1"/>
  <c r="U360" i="3" s="1"/>
  <c r="T360" i="3" a="1"/>
  <c r="T360" i="3" s="1"/>
  <c r="S360" i="3" a="1"/>
  <c r="S360" i="3" s="1"/>
  <c r="R360" i="3" a="1"/>
  <c r="R360" i="3" s="1"/>
  <c r="Q360" i="3" a="1"/>
  <c r="Q360" i="3" s="1"/>
  <c r="P360" i="3" a="1"/>
  <c r="P360" i="3" s="1"/>
  <c r="O360" i="3" a="1"/>
  <c r="O360" i="3" s="1"/>
  <c r="L360" i="3" a="1"/>
  <c r="L360" i="3" s="1"/>
  <c r="K360" i="3" a="1"/>
  <c r="K360" i="3" s="1"/>
  <c r="U359" i="3"/>
  <c r="U359" i="3" a="1"/>
  <c r="T359" i="3" a="1"/>
  <c r="T359" i="3" s="1"/>
  <c r="S359" i="3"/>
  <c r="S359" i="3" a="1"/>
  <c r="R359" i="3"/>
  <c r="R359" i="3" a="1"/>
  <c r="Q359" i="3" a="1"/>
  <c r="Q359" i="3" s="1"/>
  <c r="P359" i="3" a="1"/>
  <c r="P359" i="3" s="1"/>
  <c r="O359" i="3" a="1"/>
  <c r="O359" i="3" s="1"/>
  <c r="L359" i="3"/>
  <c r="L359" i="3" a="1"/>
  <c r="K359" i="3" a="1"/>
  <c r="K359" i="3" s="1"/>
  <c r="U358" i="3" a="1"/>
  <c r="U358" i="3" s="1"/>
  <c r="T358" i="3" a="1"/>
  <c r="T358" i="3" s="1"/>
  <c r="S358" i="3" a="1"/>
  <c r="S358" i="3" s="1"/>
  <c r="R358" i="3" a="1"/>
  <c r="R358" i="3" s="1"/>
  <c r="Q358" i="3" a="1"/>
  <c r="Q358" i="3" s="1"/>
  <c r="P358" i="3" a="1"/>
  <c r="P358" i="3" s="1"/>
  <c r="O358" i="3" a="1"/>
  <c r="O358" i="3" s="1"/>
  <c r="L358" i="3" a="1"/>
  <c r="L358" i="3" s="1"/>
  <c r="K358" i="3"/>
  <c r="K358" i="3" a="1"/>
  <c r="U357" i="3" a="1"/>
  <c r="U357" i="3" s="1"/>
  <c r="T357" i="3" a="1"/>
  <c r="T357" i="3" s="1"/>
  <c r="S357" i="3" a="1"/>
  <c r="S357" i="3" s="1"/>
  <c r="R357" i="3" a="1"/>
  <c r="R357" i="3" s="1"/>
  <c r="Q357" i="3" a="1"/>
  <c r="Q357" i="3" s="1"/>
  <c r="P357" i="3" a="1"/>
  <c r="P357" i="3" s="1"/>
  <c r="O357" i="3" a="1"/>
  <c r="O357" i="3" s="1"/>
  <c r="L357" i="3" a="1"/>
  <c r="L357" i="3" s="1"/>
  <c r="K357" i="3" a="1"/>
  <c r="K357" i="3" s="1"/>
  <c r="U356" i="3" a="1"/>
  <c r="U356" i="3" s="1"/>
  <c r="T356" i="3" a="1"/>
  <c r="T356" i="3" s="1"/>
  <c r="S356" i="3" a="1"/>
  <c r="S356" i="3" s="1"/>
  <c r="R356" i="3" a="1"/>
  <c r="R356" i="3" s="1"/>
  <c r="Q356" i="3" a="1"/>
  <c r="Q356" i="3" s="1"/>
  <c r="P356" i="3" a="1"/>
  <c r="P356" i="3" s="1"/>
  <c r="O356" i="3" a="1"/>
  <c r="O356" i="3" s="1"/>
  <c r="L356" i="3"/>
  <c r="L356" i="3" a="1"/>
  <c r="K356" i="3" a="1"/>
  <c r="K356" i="3" s="1"/>
  <c r="U355" i="3" a="1"/>
  <c r="U355" i="3" s="1"/>
  <c r="T355" i="3" a="1"/>
  <c r="T355" i="3" s="1"/>
  <c r="S355" i="3"/>
  <c r="S355" i="3" a="1"/>
  <c r="R355" i="3" a="1"/>
  <c r="R355" i="3" s="1"/>
  <c r="Q355" i="3" a="1"/>
  <c r="Q355" i="3" s="1"/>
  <c r="P355" i="3" a="1"/>
  <c r="P355" i="3" s="1"/>
  <c r="O355" i="3" a="1"/>
  <c r="O355" i="3" s="1"/>
  <c r="L355" i="3" a="1"/>
  <c r="L355" i="3" s="1"/>
  <c r="K355" i="3" a="1"/>
  <c r="K355" i="3" s="1"/>
  <c r="U354" i="3" a="1"/>
  <c r="U354" i="3" s="1"/>
  <c r="T354" i="3" a="1"/>
  <c r="T354" i="3" s="1"/>
  <c r="S354" i="3" a="1"/>
  <c r="S354" i="3" s="1"/>
  <c r="R354" i="3" a="1"/>
  <c r="R354" i="3" s="1"/>
  <c r="Q354" i="3" a="1"/>
  <c r="Q354" i="3" s="1"/>
  <c r="P354" i="3" a="1"/>
  <c r="P354" i="3" s="1"/>
  <c r="O354" i="3" a="1"/>
  <c r="O354" i="3" s="1"/>
  <c r="L354" i="3" a="1"/>
  <c r="L354" i="3" s="1"/>
  <c r="K354" i="3" a="1"/>
  <c r="K354" i="3" s="1"/>
  <c r="U353" i="3" a="1"/>
  <c r="U353" i="3" s="1"/>
  <c r="T353" i="3" a="1"/>
  <c r="T353" i="3" s="1"/>
  <c r="S353" i="3" a="1"/>
  <c r="S353" i="3" s="1"/>
  <c r="R353" i="3" a="1"/>
  <c r="R353" i="3" s="1"/>
  <c r="Q353" i="3" a="1"/>
  <c r="Q353" i="3" s="1"/>
  <c r="P353" i="3" a="1"/>
  <c r="P353" i="3" s="1"/>
  <c r="O353" i="3" a="1"/>
  <c r="O353" i="3" s="1"/>
  <c r="L353" i="3" a="1"/>
  <c r="L353" i="3" s="1"/>
  <c r="K353" i="3" a="1"/>
  <c r="K353" i="3" s="1"/>
  <c r="U352" i="3"/>
  <c r="U352" i="3" a="1"/>
  <c r="T352" i="3" a="1"/>
  <c r="T352" i="3" s="1"/>
  <c r="S352" i="3" a="1"/>
  <c r="S352" i="3" s="1"/>
  <c r="R352" i="3"/>
  <c r="R352" i="3" a="1"/>
  <c r="Q352" i="3" a="1"/>
  <c r="Q352" i="3" s="1"/>
  <c r="P352" i="3" a="1"/>
  <c r="P352" i="3" s="1"/>
  <c r="O352" i="3" a="1"/>
  <c r="O352" i="3" s="1"/>
  <c r="L352" i="3" a="1"/>
  <c r="L352" i="3" s="1"/>
  <c r="K352" i="3" a="1"/>
  <c r="K352" i="3" s="1"/>
  <c r="U351" i="3" a="1"/>
  <c r="U351" i="3" s="1"/>
  <c r="T351" i="3" a="1"/>
  <c r="T351" i="3" s="1"/>
  <c r="S351" i="3" a="1"/>
  <c r="S351" i="3" s="1"/>
  <c r="R351" i="3"/>
  <c r="R351" i="3" a="1"/>
  <c r="Q351" i="3" a="1"/>
  <c r="Q351" i="3" s="1"/>
  <c r="P351" i="3" a="1"/>
  <c r="P351" i="3" s="1"/>
  <c r="O351" i="3" a="1"/>
  <c r="O351" i="3" s="1"/>
  <c r="L351" i="3"/>
  <c r="L351" i="3" a="1"/>
  <c r="K351" i="3" a="1"/>
  <c r="K351" i="3" s="1"/>
  <c r="U350" i="3" a="1"/>
  <c r="U350" i="3" s="1"/>
  <c r="T350" i="3" a="1"/>
  <c r="T350" i="3" s="1"/>
  <c r="S350" i="3" a="1"/>
  <c r="S350" i="3" s="1"/>
  <c r="R350" i="3" a="1"/>
  <c r="R350" i="3" s="1"/>
  <c r="Q350" i="3" a="1"/>
  <c r="Q350" i="3" s="1"/>
  <c r="P350" i="3" a="1"/>
  <c r="P350" i="3" s="1"/>
  <c r="O350" i="3" a="1"/>
  <c r="O350" i="3" s="1"/>
  <c r="L350" i="3" a="1"/>
  <c r="L350" i="3" s="1"/>
  <c r="K350" i="3" a="1"/>
  <c r="K350" i="3" s="1"/>
  <c r="U349" i="3" a="1"/>
  <c r="U349" i="3" s="1"/>
  <c r="T349" i="3" a="1"/>
  <c r="T349" i="3" s="1"/>
  <c r="S349" i="3"/>
  <c r="S349" i="3" a="1"/>
  <c r="R349" i="3"/>
  <c r="R349" i="3" a="1"/>
  <c r="Q349" i="3" a="1"/>
  <c r="Q349" i="3" s="1"/>
  <c r="P349" i="3" a="1"/>
  <c r="P349" i="3" s="1"/>
  <c r="O349" i="3" a="1"/>
  <c r="O349" i="3" s="1"/>
  <c r="L349" i="3"/>
  <c r="L349" i="3" a="1"/>
  <c r="K349" i="3" a="1"/>
  <c r="K349" i="3" s="1"/>
  <c r="U348" i="3" a="1"/>
  <c r="U348" i="3" s="1"/>
  <c r="T348" i="3" a="1"/>
  <c r="T348" i="3" s="1"/>
  <c r="S348" i="3" a="1"/>
  <c r="S348" i="3" s="1"/>
  <c r="R348" i="3" a="1"/>
  <c r="R348" i="3" s="1"/>
  <c r="Q348" i="3" a="1"/>
  <c r="Q348" i="3" s="1"/>
  <c r="P348" i="3" a="1"/>
  <c r="P348" i="3" s="1"/>
  <c r="O348" i="3"/>
  <c r="O348" i="3" a="1"/>
  <c r="L348" i="3" a="1"/>
  <c r="L348" i="3" s="1"/>
  <c r="K348" i="3" a="1"/>
  <c r="K348" i="3" s="1"/>
  <c r="U347" i="3" a="1"/>
  <c r="U347" i="3" s="1"/>
  <c r="T347" i="3" a="1"/>
  <c r="T347" i="3" s="1"/>
  <c r="S347" i="3" a="1"/>
  <c r="S347" i="3" s="1"/>
  <c r="R347" i="3" a="1"/>
  <c r="R347" i="3" s="1"/>
  <c r="Q347" i="3" a="1"/>
  <c r="Q347" i="3" s="1"/>
  <c r="P347" i="3" a="1"/>
  <c r="P347" i="3" s="1"/>
  <c r="O347" i="3" a="1"/>
  <c r="O347" i="3" s="1"/>
  <c r="L347" i="3" a="1"/>
  <c r="L347" i="3" s="1"/>
  <c r="K347" i="3" a="1"/>
  <c r="K347" i="3" s="1"/>
  <c r="U346" i="3" a="1"/>
  <c r="U346" i="3" s="1"/>
  <c r="T346" i="3" a="1"/>
  <c r="T346" i="3" s="1"/>
  <c r="S346" i="3" a="1"/>
  <c r="S346" i="3" s="1"/>
  <c r="R346" i="3" a="1"/>
  <c r="R346" i="3" s="1"/>
  <c r="Q346" i="3" a="1"/>
  <c r="Q346" i="3" s="1"/>
  <c r="P346" i="3" a="1"/>
  <c r="P346" i="3" s="1"/>
  <c r="O346" i="3" a="1"/>
  <c r="O346" i="3" s="1"/>
  <c r="L346" i="3" a="1"/>
  <c r="L346" i="3" s="1"/>
  <c r="K346" i="3" a="1"/>
  <c r="K346" i="3" s="1"/>
  <c r="U345" i="3" a="1"/>
  <c r="U345" i="3" s="1"/>
  <c r="T345" i="3" a="1"/>
  <c r="T345" i="3" s="1"/>
  <c r="S345" i="3"/>
  <c r="S345" i="3" a="1"/>
  <c r="R345" i="3" a="1"/>
  <c r="R345" i="3" s="1"/>
  <c r="Q345" i="3" a="1"/>
  <c r="Q345" i="3" s="1"/>
  <c r="P345" i="3" a="1"/>
  <c r="P345" i="3" s="1"/>
  <c r="O345" i="3" a="1"/>
  <c r="O345" i="3" s="1"/>
  <c r="L345" i="3" a="1"/>
  <c r="L345" i="3" s="1"/>
  <c r="K345" i="3" a="1"/>
  <c r="K345" i="3" s="1"/>
  <c r="U344" i="3" a="1"/>
  <c r="U344" i="3" s="1"/>
  <c r="T344" i="3" a="1"/>
  <c r="T344" i="3" s="1"/>
  <c r="S344" i="3" a="1"/>
  <c r="S344" i="3" s="1"/>
  <c r="R344" i="3" a="1"/>
  <c r="R344" i="3" s="1"/>
  <c r="Q344" i="3" a="1"/>
  <c r="Q344" i="3" s="1"/>
  <c r="P344" i="3" a="1"/>
  <c r="P344" i="3" s="1"/>
  <c r="O344" i="3" a="1"/>
  <c r="O344" i="3" s="1"/>
  <c r="L344" i="3" a="1"/>
  <c r="L344" i="3" s="1"/>
  <c r="K344" i="3" a="1"/>
  <c r="K344" i="3" s="1"/>
  <c r="U343" i="3" a="1"/>
  <c r="U343" i="3" s="1"/>
  <c r="T343" i="3" a="1"/>
  <c r="T343" i="3" s="1"/>
  <c r="S343" i="3" a="1"/>
  <c r="S343" i="3" s="1"/>
  <c r="R343" i="3" a="1"/>
  <c r="R343" i="3" s="1"/>
  <c r="Q343" i="3" a="1"/>
  <c r="Q343" i="3" s="1"/>
  <c r="P343" i="3" a="1"/>
  <c r="P343" i="3" s="1"/>
  <c r="O343" i="3" a="1"/>
  <c r="O343" i="3" s="1"/>
  <c r="L343" i="3" a="1"/>
  <c r="L343" i="3" s="1"/>
  <c r="K343" i="3" a="1"/>
  <c r="K343" i="3" s="1"/>
  <c r="U342" i="3" a="1"/>
  <c r="U342" i="3" s="1"/>
  <c r="T342" i="3" a="1"/>
  <c r="T342" i="3" s="1"/>
  <c r="S342" i="3" a="1"/>
  <c r="S342" i="3" s="1"/>
  <c r="R342" i="3" a="1"/>
  <c r="R342" i="3" s="1"/>
  <c r="Q342" i="3" a="1"/>
  <c r="Q342" i="3" s="1"/>
  <c r="P342" i="3" a="1"/>
  <c r="P342" i="3" s="1"/>
  <c r="O342" i="3" a="1"/>
  <c r="O342" i="3" s="1"/>
  <c r="L342" i="3" a="1"/>
  <c r="L342" i="3" s="1"/>
  <c r="K342" i="3" a="1"/>
  <c r="K342" i="3" s="1"/>
  <c r="U341" i="3"/>
  <c r="U341" i="3" a="1"/>
  <c r="T341" i="3" a="1"/>
  <c r="T341" i="3" s="1"/>
  <c r="S341" i="3" a="1"/>
  <c r="S341" i="3" s="1"/>
  <c r="R341" i="3" a="1"/>
  <c r="R341" i="3" s="1"/>
  <c r="Q341" i="3" a="1"/>
  <c r="Q341" i="3" s="1"/>
  <c r="P341" i="3"/>
  <c r="P341" i="3" a="1"/>
  <c r="O341" i="3" a="1"/>
  <c r="O341" i="3" s="1"/>
  <c r="L341" i="3" a="1"/>
  <c r="L341" i="3" s="1"/>
  <c r="K341" i="3" a="1"/>
  <c r="K341" i="3" s="1"/>
  <c r="U340" i="3"/>
  <c r="U340" i="3" a="1"/>
  <c r="T340" i="3" a="1"/>
  <c r="T340" i="3" s="1"/>
  <c r="S340" i="3" a="1"/>
  <c r="S340" i="3" s="1"/>
  <c r="R340" i="3" a="1"/>
  <c r="R340" i="3" s="1"/>
  <c r="Q340" i="3" a="1"/>
  <c r="Q340" i="3" s="1"/>
  <c r="P340" i="3" a="1"/>
  <c r="P340" i="3" s="1"/>
  <c r="O340" i="3" a="1"/>
  <c r="O340" i="3" s="1"/>
  <c r="L340" i="3" a="1"/>
  <c r="L340" i="3" s="1"/>
  <c r="K340" i="3" a="1"/>
  <c r="K340" i="3" s="1"/>
  <c r="U339" i="3" a="1"/>
  <c r="U339" i="3" s="1"/>
  <c r="T339" i="3" a="1"/>
  <c r="T339" i="3" s="1"/>
  <c r="S339" i="3"/>
  <c r="S339" i="3" a="1"/>
  <c r="R339" i="3" a="1"/>
  <c r="R339" i="3" s="1"/>
  <c r="Q339" i="3" a="1"/>
  <c r="Q339" i="3" s="1"/>
  <c r="P339" i="3"/>
  <c r="P339" i="3" a="1"/>
  <c r="O339" i="3" a="1"/>
  <c r="O339" i="3" s="1"/>
  <c r="L339" i="3" a="1"/>
  <c r="L339" i="3" s="1"/>
  <c r="K339" i="3" a="1"/>
  <c r="K339" i="3" s="1"/>
  <c r="U338" i="3" a="1"/>
  <c r="U338" i="3" s="1"/>
  <c r="T338" i="3" a="1"/>
  <c r="T338" i="3" s="1"/>
  <c r="S338" i="3" a="1"/>
  <c r="S338" i="3" s="1"/>
  <c r="R338" i="3" a="1"/>
  <c r="R338" i="3" s="1"/>
  <c r="Q338" i="3" a="1"/>
  <c r="Q338" i="3" s="1"/>
  <c r="P338" i="3" a="1"/>
  <c r="P338" i="3" s="1"/>
  <c r="O338" i="3" a="1"/>
  <c r="O338" i="3" s="1"/>
  <c r="L338" i="3" a="1"/>
  <c r="L338" i="3" s="1"/>
  <c r="K338" i="3" a="1"/>
  <c r="K338" i="3" s="1"/>
  <c r="U337" i="3" a="1"/>
  <c r="U337" i="3" s="1"/>
  <c r="T337" i="3"/>
  <c r="T337" i="3" a="1"/>
  <c r="S337" i="3" a="1"/>
  <c r="S337" i="3" s="1"/>
  <c r="R337" i="3" a="1"/>
  <c r="R337" i="3" s="1"/>
  <c r="Q337" i="3" a="1"/>
  <c r="Q337" i="3" s="1"/>
  <c r="P337" i="3" a="1"/>
  <c r="P337" i="3" s="1"/>
  <c r="O337" i="3" a="1"/>
  <c r="O337" i="3" s="1"/>
  <c r="L337" i="3" a="1"/>
  <c r="L337" i="3" s="1"/>
  <c r="K337" i="3" a="1"/>
  <c r="K337" i="3" s="1"/>
  <c r="U336" i="3" a="1"/>
  <c r="U336" i="3" s="1"/>
  <c r="T336" i="3"/>
  <c r="T336" i="3" a="1"/>
  <c r="S336" i="3" a="1"/>
  <c r="S336" i="3" s="1"/>
  <c r="R336" i="3" a="1"/>
  <c r="R336" i="3" s="1"/>
  <c r="Q336" i="3" a="1"/>
  <c r="Q336" i="3" s="1"/>
  <c r="P336" i="3" a="1"/>
  <c r="P336" i="3" s="1"/>
  <c r="O336" i="3" a="1"/>
  <c r="O336" i="3" s="1"/>
  <c r="L336" i="3" a="1"/>
  <c r="L336" i="3" s="1"/>
  <c r="K336" i="3" a="1"/>
  <c r="K336" i="3" s="1"/>
  <c r="U335" i="3"/>
  <c r="U335" i="3" a="1"/>
  <c r="T335" i="3" a="1"/>
  <c r="T335" i="3" s="1"/>
  <c r="S335" i="3" a="1"/>
  <c r="S335" i="3" s="1"/>
  <c r="R335" i="3" a="1"/>
  <c r="R335" i="3" s="1"/>
  <c r="Q335" i="3" a="1"/>
  <c r="Q335" i="3" s="1"/>
  <c r="P335" i="3" a="1"/>
  <c r="P335" i="3" s="1"/>
  <c r="O335" i="3" a="1"/>
  <c r="O335" i="3" s="1"/>
  <c r="L335" i="3" a="1"/>
  <c r="L335" i="3" s="1"/>
  <c r="K335" i="3" a="1"/>
  <c r="K335" i="3" s="1"/>
  <c r="U334" i="3" a="1"/>
  <c r="U334" i="3" s="1"/>
  <c r="T334" i="3"/>
  <c r="T334" i="3" a="1"/>
  <c r="S334" i="3" a="1"/>
  <c r="S334" i="3" s="1"/>
  <c r="R334" i="3" a="1"/>
  <c r="R334" i="3" s="1"/>
  <c r="Q334" i="3" a="1"/>
  <c r="Q334" i="3" s="1"/>
  <c r="P334" i="3" a="1"/>
  <c r="P334" i="3" s="1"/>
  <c r="O334" i="3" a="1"/>
  <c r="O334" i="3" s="1"/>
  <c r="L334" i="3" a="1"/>
  <c r="L334" i="3" s="1"/>
  <c r="K334" i="3" a="1"/>
  <c r="K334" i="3" s="1"/>
  <c r="U333" i="3" a="1"/>
  <c r="U333" i="3" s="1"/>
  <c r="T333" i="3"/>
  <c r="T333" i="3" a="1"/>
  <c r="S333" i="3" a="1"/>
  <c r="S333" i="3" s="1"/>
  <c r="R333" i="3" a="1"/>
  <c r="R333" i="3" s="1"/>
  <c r="Q333" i="3" a="1"/>
  <c r="Q333" i="3" s="1"/>
  <c r="P333" i="3" a="1"/>
  <c r="P333" i="3" s="1"/>
  <c r="O333" i="3" a="1"/>
  <c r="O333" i="3" s="1"/>
  <c r="L333" i="3" a="1"/>
  <c r="L333" i="3" s="1"/>
  <c r="K333" i="3"/>
  <c r="K333" i="3" a="1"/>
  <c r="U332" i="3" a="1"/>
  <c r="U332" i="3" s="1"/>
  <c r="T332" i="3" a="1"/>
  <c r="T332" i="3" s="1"/>
  <c r="S332" i="3" a="1"/>
  <c r="S332" i="3" s="1"/>
  <c r="R332" i="3" a="1"/>
  <c r="R332" i="3" s="1"/>
  <c r="Q332" i="3"/>
  <c r="Q332" i="3" a="1"/>
  <c r="P332" i="3" a="1"/>
  <c r="P332" i="3" s="1"/>
  <c r="O332" i="3" a="1"/>
  <c r="O332" i="3" s="1"/>
  <c r="L332" i="3" a="1"/>
  <c r="L332" i="3" s="1"/>
  <c r="K332" i="3" a="1"/>
  <c r="K332" i="3" s="1"/>
  <c r="U331" i="3" a="1"/>
  <c r="U331" i="3" s="1"/>
  <c r="T331" i="3" a="1"/>
  <c r="T331" i="3" s="1"/>
  <c r="S331" i="3" a="1"/>
  <c r="S331" i="3" s="1"/>
  <c r="R331" i="3" a="1"/>
  <c r="R331" i="3" s="1"/>
  <c r="Q331" i="3" a="1"/>
  <c r="Q331" i="3" s="1"/>
  <c r="P331" i="3" a="1"/>
  <c r="P331" i="3" s="1"/>
  <c r="O331" i="3" a="1"/>
  <c r="O331" i="3" s="1"/>
  <c r="L331" i="3" a="1"/>
  <c r="L331" i="3" s="1"/>
  <c r="K331" i="3" a="1"/>
  <c r="K331" i="3" s="1"/>
  <c r="U330" i="3" a="1"/>
  <c r="U330" i="3" s="1"/>
  <c r="T330" i="3" a="1"/>
  <c r="T330" i="3" s="1"/>
  <c r="S330" i="3" a="1"/>
  <c r="S330" i="3" s="1"/>
  <c r="R330" i="3" a="1"/>
  <c r="R330" i="3" s="1"/>
  <c r="Q330" i="3" a="1"/>
  <c r="Q330" i="3" s="1"/>
  <c r="P330" i="3" a="1"/>
  <c r="P330" i="3" s="1"/>
  <c r="O330" i="3"/>
  <c r="O330" i="3" a="1"/>
  <c r="L330" i="3" a="1"/>
  <c r="L330" i="3" s="1"/>
  <c r="K330" i="3" a="1"/>
  <c r="K330" i="3" s="1"/>
  <c r="U329" i="3"/>
  <c r="U329" i="3" a="1"/>
  <c r="T329" i="3" a="1"/>
  <c r="T329" i="3" s="1"/>
  <c r="S329" i="3" a="1"/>
  <c r="S329" i="3" s="1"/>
  <c r="R329" i="3" a="1"/>
  <c r="R329" i="3" s="1"/>
  <c r="Q329" i="3" a="1"/>
  <c r="Q329" i="3" s="1"/>
  <c r="P329" i="3" a="1"/>
  <c r="P329" i="3" s="1"/>
  <c r="O329" i="3" a="1"/>
  <c r="O329" i="3" s="1"/>
  <c r="L329" i="3" a="1"/>
  <c r="L329" i="3" s="1"/>
  <c r="K329" i="3" a="1"/>
  <c r="K329" i="3" s="1"/>
  <c r="U328" i="3" a="1"/>
  <c r="U328" i="3" s="1"/>
  <c r="T328" i="3" a="1"/>
  <c r="T328" i="3" s="1"/>
  <c r="S328" i="3" a="1"/>
  <c r="S328" i="3" s="1"/>
  <c r="R328" i="3"/>
  <c r="R328" i="3" a="1"/>
  <c r="Q328" i="3" a="1"/>
  <c r="Q328" i="3" s="1"/>
  <c r="P328" i="3" a="1"/>
  <c r="P328" i="3" s="1"/>
  <c r="O328" i="3" a="1"/>
  <c r="O328" i="3" s="1"/>
  <c r="L328" i="3" a="1"/>
  <c r="L328" i="3" s="1"/>
  <c r="K328" i="3" a="1"/>
  <c r="K328" i="3" s="1"/>
  <c r="U327" i="3" a="1"/>
  <c r="U327" i="3" s="1"/>
  <c r="T327" i="3" a="1"/>
  <c r="T327" i="3" s="1"/>
  <c r="S327" i="3" a="1"/>
  <c r="S327" i="3" s="1"/>
  <c r="R327" i="3" a="1"/>
  <c r="R327" i="3" s="1"/>
  <c r="Q327" i="3" a="1"/>
  <c r="Q327" i="3" s="1"/>
  <c r="P327" i="3" a="1"/>
  <c r="P327" i="3" s="1"/>
  <c r="O327" i="3" a="1"/>
  <c r="O327" i="3" s="1"/>
  <c r="L327" i="3" a="1"/>
  <c r="L327" i="3" s="1"/>
  <c r="K327" i="3" a="1"/>
  <c r="K327" i="3" s="1"/>
  <c r="U326" i="3" a="1"/>
  <c r="U326" i="3" s="1"/>
  <c r="T326" i="3" a="1"/>
  <c r="T326" i="3" s="1"/>
  <c r="S326" i="3" a="1"/>
  <c r="S326" i="3" s="1"/>
  <c r="R326" i="3"/>
  <c r="R326" i="3" a="1"/>
  <c r="Q326" i="3"/>
  <c r="Q326" i="3" a="1"/>
  <c r="P326" i="3" a="1"/>
  <c r="P326" i="3" s="1"/>
  <c r="O326" i="3" a="1"/>
  <c r="O326" i="3" s="1"/>
  <c r="L326" i="3" a="1"/>
  <c r="L326" i="3" s="1"/>
  <c r="K326" i="3" a="1"/>
  <c r="K326" i="3" s="1"/>
  <c r="U325" i="3" a="1"/>
  <c r="U325" i="3" s="1"/>
  <c r="T325" i="3" a="1"/>
  <c r="T325" i="3" s="1"/>
  <c r="S325" i="3" a="1"/>
  <c r="S325" i="3" s="1"/>
  <c r="R325" i="3" a="1"/>
  <c r="R325" i="3" s="1"/>
  <c r="Q325" i="3" a="1"/>
  <c r="Q325" i="3" s="1"/>
  <c r="P325" i="3" a="1"/>
  <c r="P325" i="3" s="1"/>
  <c r="O325" i="3" a="1"/>
  <c r="O325" i="3" s="1"/>
  <c r="L325" i="3" a="1"/>
  <c r="L325" i="3" s="1"/>
  <c r="K325" i="3" a="1"/>
  <c r="K325" i="3" s="1"/>
  <c r="U324" i="3" a="1"/>
  <c r="U324" i="3" s="1"/>
  <c r="T324" i="3" a="1"/>
  <c r="T324" i="3" s="1"/>
  <c r="S324" i="3" a="1"/>
  <c r="S324" i="3" s="1"/>
  <c r="R324" i="3" a="1"/>
  <c r="R324" i="3" s="1"/>
  <c r="Q324" i="3" a="1"/>
  <c r="Q324" i="3" s="1"/>
  <c r="P324" i="3" a="1"/>
  <c r="P324" i="3" s="1"/>
  <c r="O324" i="3" a="1"/>
  <c r="O324" i="3" s="1"/>
  <c r="L324" i="3" a="1"/>
  <c r="L324" i="3" s="1"/>
  <c r="K324" i="3" a="1"/>
  <c r="K324" i="3" s="1"/>
  <c r="U323" i="3" a="1"/>
  <c r="U323" i="3" s="1"/>
  <c r="T323" i="3" a="1"/>
  <c r="T323" i="3" s="1"/>
  <c r="S323" i="3" a="1"/>
  <c r="S323" i="3" s="1"/>
  <c r="R323" i="3" a="1"/>
  <c r="R323" i="3" s="1"/>
  <c r="Q323" i="3" a="1"/>
  <c r="Q323" i="3" s="1"/>
  <c r="P323" i="3" a="1"/>
  <c r="P323" i="3" s="1"/>
  <c r="O323" i="3" a="1"/>
  <c r="O323" i="3" s="1"/>
  <c r="L323" i="3" a="1"/>
  <c r="L323" i="3" s="1"/>
  <c r="K323" i="3" a="1"/>
  <c r="K323" i="3" s="1"/>
  <c r="U322" i="3" a="1"/>
  <c r="U322" i="3" s="1"/>
  <c r="T322" i="3" a="1"/>
  <c r="T322" i="3" s="1"/>
  <c r="S322" i="3" a="1"/>
  <c r="S322" i="3" s="1"/>
  <c r="R322" i="3"/>
  <c r="R322" i="3" a="1"/>
  <c r="Q322" i="3" a="1"/>
  <c r="Q322" i="3" s="1"/>
  <c r="P322" i="3" a="1"/>
  <c r="P322" i="3" s="1"/>
  <c r="O322" i="3" a="1"/>
  <c r="O322" i="3" s="1"/>
  <c r="L322" i="3" a="1"/>
  <c r="L322" i="3" s="1"/>
  <c r="K322" i="3" a="1"/>
  <c r="K322" i="3" s="1"/>
  <c r="U321" i="3" a="1"/>
  <c r="U321" i="3" s="1"/>
  <c r="T321" i="3" a="1"/>
  <c r="T321" i="3" s="1"/>
  <c r="S321" i="3" a="1"/>
  <c r="S321" i="3" s="1"/>
  <c r="R321" i="3" a="1"/>
  <c r="R321" i="3" s="1"/>
  <c r="Q321" i="3" a="1"/>
  <c r="Q321" i="3" s="1"/>
  <c r="P321" i="3" a="1"/>
  <c r="P321" i="3" s="1"/>
  <c r="O321" i="3" a="1"/>
  <c r="O321" i="3" s="1"/>
  <c r="L321" i="3" a="1"/>
  <c r="L321" i="3" s="1"/>
  <c r="K321" i="3" a="1"/>
  <c r="K321" i="3" s="1"/>
  <c r="H414" i="3"/>
  <c r="H414" i="3" a="1"/>
  <c r="G414" i="3" a="1"/>
  <c r="G414" i="3" s="1"/>
  <c r="F414" i="3" a="1"/>
  <c r="F414" i="3" s="1"/>
  <c r="H413" i="3" a="1"/>
  <c r="H413" i="3" s="1"/>
  <c r="G413" i="3" a="1"/>
  <c r="G413" i="3" s="1"/>
  <c r="F413" i="3" a="1"/>
  <c r="F413" i="3" s="1"/>
  <c r="H412" i="3" a="1"/>
  <c r="H412" i="3" s="1"/>
  <c r="G412" i="3" a="1"/>
  <c r="G412" i="3" s="1"/>
  <c r="F412" i="3" a="1"/>
  <c r="F412" i="3" s="1"/>
  <c r="H411" i="3" a="1"/>
  <c r="H411" i="3" s="1"/>
  <c r="G411" i="3" a="1"/>
  <c r="G411" i="3" s="1"/>
  <c r="F411" i="3" a="1"/>
  <c r="F411" i="3" s="1"/>
  <c r="H410" i="3"/>
  <c r="H410" i="3" a="1"/>
  <c r="G410" i="3" a="1"/>
  <c r="G410" i="3" s="1"/>
  <c r="F410" i="3" a="1"/>
  <c r="F410" i="3" s="1"/>
  <c r="H409" i="3" a="1"/>
  <c r="H409" i="3" s="1"/>
  <c r="G409" i="3"/>
  <c r="G409" i="3" a="1"/>
  <c r="F409" i="3" a="1"/>
  <c r="F409" i="3" s="1"/>
  <c r="H408" i="3" a="1"/>
  <c r="H408" i="3" s="1"/>
  <c r="G408" i="3" a="1"/>
  <c r="G408" i="3" s="1"/>
  <c r="F408" i="3" a="1"/>
  <c r="F408" i="3" s="1"/>
  <c r="H407" i="3" a="1"/>
  <c r="H407" i="3" s="1"/>
  <c r="G407" i="3" a="1"/>
  <c r="G407" i="3" s="1"/>
  <c r="F407" i="3" a="1"/>
  <c r="F407" i="3" s="1"/>
  <c r="H406" i="3" a="1"/>
  <c r="H406" i="3" s="1"/>
  <c r="G406" i="3" a="1"/>
  <c r="G406" i="3" s="1"/>
  <c r="F406" i="3" a="1"/>
  <c r="F406" i="3" s="1"/>
  <c r="H405" i="3" a="1"/>
  <c r="H405" i="3" s="1"/>
  <c r="G405" i="3" a="1"/>
  <c r="G405" i="3" s="1"/>
  <c r="F405" i="3" a="1"/>
  <c r="F405" i="3" s="1"/>
  <c r="H404" i="3" a="1"/>
  <c r="H404" i="3" s="1"/>
  <c r="G404" i="3" a="1"/>
  <c r="G404" i="3" s="1"/>
  <c r="F404" i="3"/>
  <c r="F404" i="3" a="1"/>
  <c r="H403" i="3" a="1"/>
  <c r="H403" i="3" s="1"/>
  <c r="G403" i="3" a="1"/>
  <c r="G403" i="3" s="1"/>
  <c r="F403" i="3" a="1"/>
  <c r="F403" i="3" s="1"/>
  <c r="H402" i="3"/>
  <c r="H402" i="3" a="1"/>
  <c r="G402" i="3" a="1"/>
  <c r="G402" i="3" s="1"/>
  <c r="F402" i="3" a="1"/>
  <c r="F402" i="3" s="1"/>
  <c r="H401" i="3" a="1"/>
  <c r="H401" i="3" s="1"/>
  <c r="G401" i="3" a="1"/>
  <c r="G401" i="3" s="1"/>
  <c r="F401" i="3" a="1"/>
  <c r="F401" i="3" s="1"/>
  <c r="H400" i="3" a="1"/>
  <c r="H400" i="3" s="1"/>
  <c r="G400" i="3" a="1"/>
  <c r="G400" i="3" s="1"/>
  <c r="F400" i="3"/>
  <c r="F400" i="3" a="1"/>
  <c r="H399" i="3" a="1"/>
  <c r="H399" i="3" s="1"/>
  <c r="G399" i="3"/>
  <c r="G399" i="3" a="1"/>
  <c r="F399" i="3" a="1"/>
  <c r="F399" i="3" s="1"/>
  <c r="H398" i="3"/>
  <c r="H398" i="3" a="1"/>
  <c r="G398" i="3" a="1"/>
  <c r="G398" i="3" s="1"/>
  <c r="F398" i="3"/>
  <c r="F398" i="3" a="1"/>
  <c r="H397" i="3" a="1"/>
  <c r="H397" i="3" s="1"/>
  <c r="G397" i="3" a="1"/>
  <c r="G397" i="3" s="1"/>
  <c r="F397" i="3" a="1"/>
  <c r="F397" i="3" s="1"/>
  <c r="H396" i="3" a="1"/>
  <c r="H396" i="3" s="1"/>
  <c r="G396" i="3"/>
  <c r="G396" i="3" a="1"/>
  <c r="F396" i="3" a="1"/>
  <c r="F396" i="3" s="1"/>
  <c r="H395" i="3" a="1"/>
  <c r="H395" i="3" s="1"/>
  <c r="G395" i="3" a="1"/>
  <c r="G395" i="3" s="1"/>
  <c r="F395" i="3" a="1"/>
  <c r="F395" i="3" s="1"/>
  <c r="H394" i="3" a="1"/>
  <c r="H394" i="3" s="1"/>
  <c r="G394" i="3"/>
  <c r="G394" i="3" a="1"/>
  <c r="F394" i="3" a="1"/>
  <c r="F394" i="3" s="1"/>
  <c r="H393" i="3" a="1"/>
  <c r="H393" i="3" s="1"/>
  <c r="G393" i="3" a="1"/>
  <c r="G393" i="3" s="1"/>
  <c r="F393" i="3" a="1"/>
  <c r="F393" i="3" s="1"/>
  <c r="H392" i="3" a="1"/>
  <c r="H392" i="3" s="1"/>
  <c r="G392" i="3" a="1"/>
  <c r="G392" i="3" s="1"/>
  <c r="F392" i="3" a="1"/>
  <c r="F392" i="3" s="1"/>
  <c r="H391" i="3" a="1"/>
  <c r="H391" i="3" s="1"/>
  <c r="G391" i="3" a="1"/>
  <c r="G391" i="3" s="1"/>
  <c r="F391" i="3"/>
  <c r="F391" i="3" a="1"/>
  <c r="H390" i="3" a="1"/>
  <c r="H390" i="3" s="1"/>
  <c r="G390" i="3" a="1"/>
  <c r="G390" i="3" s="1"/>
  <c r="F390" i="3" a="1"/>
  <c r="F390" i="3" s="1"/>
  <c r="H389" i="3" a="1"/>
  <c r="H389" i="3" s="1"/>
  <c r="G389" i="3" a="1"/>
  <c r="G389" i="3" s="1"/>
  <c r="F389" i="3" a="1"/>
  <c r="F389" i="3" s="1"/>
  <c r="H388" i="3" a="1"/>
  <c r="H388" i="3" s="1"/>
  <c r="G388" i="3" a="1"/>
  <c r="G388" i="3" s="1"/>
  <c r="F388" i="3"/>
  <c r="F388" i="3" a="1"/>
  <c r="H387" i="3" a="1"/>
  <c r="H387" i="3" s="1"/>
  <c r="G387" i="3"/>
  <c r="G387" i="3" a="1"/>
  <c r="F387" i="3" a="1"/>
  <c r="F387" i="3" s="1"/>
  <c r="H386" i="3"/>
  <c r="H386" i="3" a="1"/>
  <c r="G386" i="3" a="1"/>
  <c r="G386" i="3" s="1"/>
  <c r="F386" i="3" a="1"/>
  <c r="F386" i="3" s="1"/>
  <c r="H385" i="3" a="1"/>
  <c r="H385" i="3" s="1"/>
  <c r="G385" i="3" a="1"/>
  <c r="G385" i="3" s="1"/>
  <c r="F385" i="3"/>
  <c r="F385" i="3" a="1"/>
  <c r="H384" i="3" a="1"/>
  <c r="H384" i="3" s="1"/>
  <c r="G384" i="3"/>
  <c r="G384" i="3" a="1"/>
  <c r="F384" i="3" a="1"/>
  <c r="F384" i="3" s="1"/>
  <c r="H383" i="3"/>
  <c r="H383" i="3" a="1"/>
  <c r="G383" i="3" a="1"/>
  <c r="G383" i="3" s="1"/>
  <c r="F383" i="3" a="1"/>
  <c r="F383" i="3" s="1"/>
  <c r="H382" i="3" a="1"/>
  <c r="H382" i="3" s="1"/>
  <c r="G382" i="3" a="1"/>
  <c r="G382" i="3" s="1"/>
  <c r="F382" i="3"/>
  <c r="F382" i="3" a="1"/>
  <c r="H381" i="3" a="1"/>
  <c r="H381" i="3" s="1"/>
  <c r="G381" i="3"/>
  <c r="G381" i="3" a="1"/>
  <c r="F381" i="3" a="1"/>
  <c r="F381" i="3" s="1"/>
  <c r="H380" i="3"/>
  <c r="H380" i="3" a="1"/>
  <c r="G380" i="3" a="1"/>
  <c r="G380" i="3" s="1"/>
  <c r="F380" i="3" a="1"/>
  <c r="F380" i="3" s="1"/>
  <c r="H379" i="3" a="1"/>
  <c r="H379" i="3" s="1"/>
  <c r="G379" i="3" a="1"/>
  <c r="G379" i="3" s="1"/>
  <c r="F379" i="3" a="1"/>
  <c r="F379" i="3" s="1"/>
  <c r="H378" i="3" a="1"/>
  <c r="H378" i="3" s="1"/>
  <c r="G378" i="3" a="1"/>
  <c r="G378" i="3" s="1"/>
  <c r="F378" i="3" a="1"/>
  <c r="F378" i="3" s="1"/>
  <c r="H377" i="3" a="1"/>
  <c r="H377" i="3" s="1"/>
  <c r="G377" i="3" a="1"/>
  <c r="G377" i="3" s="1"/>
  <c r="F377" i="3" a="1"/>
  <c r="F377" i="3" s="1"/>
  <c r="H376" i="3" a="1"/>
  <c r="H376" i="3" s="1"/>
  <c r="G376" i="3" a="1"/>
  <c r="G376" i="3" s="1"/>
  <c r="F376" i="3" a="1"/>
  <c r="F376" i="3" s="1"/>
  <c r="H375" i="3" a="1"/>
  <c r="H375" i="3" s="1"/>
  <c r="G375" i="3" a="1"/>
  <c r="G375" i="3" s="1"/>
  <c r="F375" i="3" a="1"/>
  <c r="F375" i="3" s="1"/>
  <c r="H374" i="3" a="1"/>
  <c r="H374" i="3" s="1"/>
  <c r="G374" i="3"/>
  <c r="G374" i="3" a="1"/>
  <c r="F374" i="3" a="1"/>
  <c r="F374" i="3" s="1"/>
  <c r="H373" i="3" a="1"/>
  <c r="H373" i="3" s="1"/>
  <c r="G373" i="3" a="1"/>
  <c r="G373" i="3" s="1"/>
  <c r="F373" i="3" a="1"/>
  <c r="F373" i="3" s="1"/>
  <c r="H372" i="3" a="1"/>
  <c r="H372" i="3" s="1"/>
  <c r="G372" i="3" a="1"/>
  <c r="G372" i="3" s="1"/>
  <c r="F372" i="3" a="1"/>
  <c r="F372" i="3" s="1"/>
  <c r="H371" i="3" a="1"/>
  <c r="H371" i="3" s="1"/>
  <c r="G371" i="3" a="1"/>
  <c r="G371" i="3" s="1"/>
  <c r="F371" i="3" a="1"/>
  <c r="F371" i="3" s="1"/>
  <c r="H370" i="3" a="1"/>
  <c r="H370" i="3" s="1"/>
  <c r="G370" i="3" a="1"/>
  <c r="G370" i="3" s="1"/>
  <c r="F370" i="3" a="1"/>
  <c r="F370" i="3" s="1"/>
  <c r="H369" i="3" a="1"/>
  <c r="H369" i="3" s="1"/>
  <c r="G369" i="3" a="1"/>
  <c r="G369" i="3" s="1"/>
  <c r="F369" i="3" a="1"/>
  <c r="F369" i="3" s="1"/>
  <c r="H368" i="3" a="1"/>
  <c r="H368" i="3" s="1"/>
  <c r="G368" i="3" a="1"/>
  <c r="G368" i="3" s="1"/>
  <c r="F368" i="3" a="1"/>
  <c r="F368" i="3" s="1"/>
  <c r="H367" i="3" a="1"/>
  <c r="H367" i="3" s="1"/>
  <c r="G367" i="3" a="1"/>
  <c r="G367" i="3" s="1"/>
  <c r="F367" i="3" a="1"/>
  <c r="F367" i="3" s="1"/>
  <c r="H366" i="3" a="1"/>
  <c r="H366" i="3" s="1"/>
  <c r="G366" i="3" a="1"/>
  <c r="G366" i="3" s="1"/>
  <c r="F366" i="3" a="1"/>
  <c r="F366" i="3" s="1"/>
  <c r="H365" i="3" a="1"/>
  <c r="H365" i="3" s="1"/>
  <c r="G365" i="3" a="1"/>
  <c r="G365" i="3" s="1"/>
  <c r="F365" i="3" a="1"/>
  <c r="F365" i="3" s="1"/>
  <c r="H364" i="3" a="1"/>
  <c r="H364" i="3" s="1"/>
  <c r="G364" i="3" a="1"/>
  <c r="G364" i="3" s="1"/>
  <c r="F364" i="3" a="1"/>
  <c r="F364" i="3" s="1"/>
  <c r="H363" i="3" a="1"/>
  <c r="H363" i="3" s="1"/>
  <c r="G363" i="3" a="1"/>
  <c r="G363" i="3" s="1"/>
  <c r="F363" i="3" a="1"/>
  <c r="F363" i="3" s="1"/>
  <c r="H362" i="3" a="1"/>
  <c r="H362" i="3" s="1"/>
  <c r="G362" i="3" a="1"/>
  <c r="G362" i="3" s="1"/>
  <c r="F362" i="3" a="1"/>
  <c r="F362" i="3" s="1"/>
  <c r="H361" i="3" a="1"/>
  <c r="H361" i="3" s="1"/>
  <c r="G361" i="3" a="1"/>
  <c r="G361" i="3" s="1"/>
  <c r="F361" i="3" a="1"/>
  <c r="F361" i="3" s="1"/>
  <c r="H360" i="3" a="1"/>
  <c r="H360" i="3" s="1"/>
  <c r="G360" i="3" a="1"/>
  <c r="G360" i="3" s="1"/>
  <c r="F360" i="3" a="1"/>
  <c r="F360" i="3" s="1"/>
  <c r="H359" i="3" a="1"/>
  <c r="H359" i="3" s="1"/>
  <c r="G359" i="3" a="1"/>
  <c r="G359" i="3" s="1"/>
  <c r="F359" i="3" a="1"/>
  <c r="F359" i="3" s="1"/>
  <c r="H358" i="3" a="1"/>
  <c r="H358" i="3" s="1"/>
  <c r="G358" i="3" a="1"/>
  <c r="G358" i="3" s="1"/>
  <c r="F358" i="3" a="1"/>
  <c r="F358" i="3" s="1"/>
  <c r="H357" i="3" a="1"/>
  <c r="H357" i="3" s="1"/>
  <c r="G357" i="3" a="1"/>
  <c r="G357" i="3" s="1"/>
  <c r="F357" i="3" a="1"/>
  <c r="F357" i="3" s="1"/>
  <c r="H356" i="3" a="1"/>
  <c r="H356" i="3" s="1"/>
  <c r="G356" i="3" a="1"/>
  <c r="G356" i="3" s="1"/>
  <c r="F356" i="3" a="1"/>
  <c r="F356" i="3" s="1"/>
  <c r="H355" i="3" a="1"/>
  <c r="H355" i="3" s="1"/>
  <c r="G355" i="3" a="1"/>
  <c r="G355" i="3" s="1"/>
  <c r="F355" i="3" a="1"/>
  <c r="F355" i="3" s="1"/>
  <c r="H354" i="3" a="1"/>
  <c r="H354" i="3" s="1"/>
  <c r="G354" i="3" a="1"/>
  <c r="G354" i="3" s="1"/>
  <c r="F354" i="3" a="1"/>
  <c r="F354" i="3" s="1"/>
  <c r="H353" i="3" a="1"/>
  <c r="H353" i="3" s="1"/>
  <c r="G353" i="3" a="1"/>
  <c r="G353" i="3" s="1"/>
  <c r="F353" i="3" a="1"/>
  <c r="F353" i="3" s="1"/>
  <c r="H352" i="3" a="1"/>
  <c r="H352" i="3" s="1"/>
  <c r="G352" i="3" a="1"/>
  <c r="G352" i="3" s="1"/>
  <c r="F352" i="3" a="1"/>
  <c r="F352" i="3" s="1"/>
  <c r="H351" i="3" a="1"/>
  <c r="H351" i="3" s="1"/>
  <c r="G351" i="3" a="1"/>
  <c r="G351" i="3" s="1"/>
  <c r="F351" i="3" a="1"/>
  <c r="F351" i="3" s="1"/>
  <c r="H350" i="3"/>
  <c r="H350" i="3" a="1"/>
  <c r="G350" i="3"/>
  <c r="G350" i="3" a="1"/>
  <c r="F350" i="3" a="1"/>
  <c r="F350" i="3" s="1"/>
  <c r="H349" i="3" a="1"/>
  <c r="H349" i="3" s="1"/>
  <c r="G349" i="3" a="1"/>
  <c r="G349" i="3" s="1"/>
  <c r="F349" i="3" a="1"/>
  <c r="F349" i="3" s="1"/>
  <c r="H348" i="3" a="1"/>
  <c r="H348" i="3" s="1"/>
  <c r="G348" i="3" a="1"/>
  <c r="G348" i="3" s="1"/>
  <c r="F348" i="3" a="1"/>
  <c r="F348" i="3" s="1"/>
  <c r="H347" i="3" a="1"/>
  <c r="H347" i="3" s="1"/>
  <c r="G347" i="3" a="1"/>
  <c r="G347" i="3" s="1"/>
  <c r="F347" i="3" a="1"/>
  <c r="F347" i="3" s="1"/>
  <c r="H346" i="3" a="1"/>
  <c r="H346" i="3" s="1"/>
  <c r="G346" i="3" a="1"/>
  <c r="G346" i="3" s="1"/>
  <c r="F346" i="3" a="1"/>
  <c r="F346" i="3" s="1"/>
  <c r="H345" i="3" a="1"/>
  <c r="H345" i="3" s="1"/>
  <c r="G345" i="3" a="1"/>
  <c r="G345" i="3" s="1"/>
  <c r="F345" i="3" a="1"/>
  <c r="F345" i="3" s="1"/>
  <c r="H344" i="3" a="1"/>
  <c r="H344" i="3" s="1"/>
  <c r="G344" i="3" a="1"/>
  <c r="G344" i="3" s="1"/>
  <c r="F344" i="3" a="1"/>
  <c r="F344" i="3" s="1"/>
  <c r="H343" i="3" a="1"/>
  <c r="H343" i="3" s="1"/>
  <c r="G343" i="3" a="1"/>
  <c r="G343" i="3" s="1"/>
  <c r="F343" i="3" a="1"/>
  <c r="F343" i="3" s="1"/>
  <c r="H342" i="3" a="1"/>
  <c r="H342" i="3" s="1"/>
  <c r="G342" i="3" a="1"/>
  <c r="G342" i="3" s="1"/>
  <c r="F342" i="3" a="1"/>
  <c r="F342" i="3" s="1"/>
  <c r="H341" i="3" a="1"/>
  <c r="H341" i="3" s="1"/>
  <c r="G341" i="3" a="1"/>
  <c r="G341" i="3" s="1"/>
  <c r="F341" i="3" a="1"/>
  <c r="F341" i="3" s="1"/>
  <c r="H340" i="3" a="1"/>
  <c r="H340" i="3" s="1"/>
  <c r="G340" i="3" a="1"/>
  <c r="G340" i="3" s="1"/>
  <c r="F340" i="3" a="1"/>
  <c r="F340" i="3" s="1"/>
  <c r="H339" i="3" a="1"/>
  <c r="H339" i="3" s="1"/>
  <c r="G339" i="3" a="1"/>
  <c r="G339" i="3" s="1"/>
  <c r="F339" i="3"/>
  <c r="F339" i="3" a="1"/>
  <c r="H338" i="3" a="1"/>
  <c r="H338" i="3" s="1"/>
  <c r="G338" i="3" a="1"/>
  <c r="G338" i="3" s="1"/>
  <c r="F338" i="3" a="1"/>
  <c r="F338" i="3" s="1"/>
  <c r="H337" i="3" a="1"/>
  <c r="H337" i="3" s="1"/>
  <c r="G337" i="3" a="1"/>
  <c r="G337" i="3" s="1"/>
  <c r="F337" i="3" a="1"/>
  <c r="F337" i="3" s="1"/>
  <c r="H336" i="3" a="1"/>
  <c r="H336" i="3" s="1"/>
  <c r="G336" i="3" a="1"/>
  <c r="G336" i="3" s="1"/>
  <c r="F336" i="3" a="1"/>
  <c r="F336" i="3" s="1"/>
  <c r="H335" i="3" a="1"/>
  <c r="H335" i="3" s="1"/>
  <c r="G335" i="3" a="1"/>
  <c r="G335" i="3" s="1"/>
  <c r="F335" i="3" a="1"/>
  <c r="F335" i="3" s="1"/>
  <c r="H334" i="3" a="1"/>
  <c r="H334" i="3" s="1"/>
  <c r="G334" i="3" a="1"/>
  <c r="G334" i="3" s="1"/>
  <c r="F334" i="3" a="1"/>
  <c r="F334" i="3" s="1"/>
  <c r="H333" i="3" a="1"/>
  <c r="H333" i="3" s="1"/>
  <c r="G333" i="3" a="1"/>
  <c r="G333" i="3" s="1"/>
  <c r="F333" i="3" a="1"/>
  <c r="F333" i="3" s="1"/>
  <c r="H332" i="3" a="1"/>
  <c r="H332" i="3" s="1"/>
  <c r="G332" i="3" a="1"/>
  <c r="G332" i="3" s="1"/>
  <c r="F332" i="3" a="1"/>
  <c r="F332" i="3" s="1"/>
  <c r="H331" i="3" a="1"/>
  <c r="H331" i="3" s="1"/>
  <c r="G331" i="3" a="1"/>
  <c r="G331" i="3" s="1"/>
  <c r="F331" i="3" a="1"/>
  <c r="F331" i="3" s="1"/>
  <c r="H330" i="3" a="1"/>
  <c r="H330" i="3" s="1"/>
  <c r="G330" i="3" a="1"/>
  <c r="G330" i="3" s="1"/>
  <c r="F330" i="3" a="1"/>
  <c r="F330" i="3" s="1"/>
  <c r="H329" i="3" a="1"/>
  <c r="H329" i="3" s="1"/>
  <c r="G329" i="3" a="1"/>
  <c r="G329" i="3" s="1"/>
  <c r="F329" i="3" a="1"/>
  <c r="F329" i="3" s="1"/>
  <c r="H328" i="3" a="1"/>
  <c r="H328" i="3" s="1"/>
  <c r="G328" i="3" a="1"/>
  <c r="G328" i="3" s="1"/>
  <c r="F328" i="3" a="1"/>
  <c r="F328" i="3" s="1"/>
  <c r="H327" i="3" a="1"/>
  <c r="H327" i="3" s="1"/>
  <c r="G327" i="3" a="1"/>
  <c r="G327" i="3" s="1"/>
  <c r="F327" i="3" a="1"/>
  <c r="F327" i="3" s="1"/>
  <c r="H326" i="3" a="1"/>
  <c r="H326" i="3" s="1"/>
  <c r="G326" i="3" a="1"/>
  <c r="G326" i="3" s="1"/>
  <c r="F326" i="3" a="1"/>
  <c r="F326" i="3" s="1"/>
  <c r="H325" i="3" a="1"/>
  <c r="H325" i="3" s="1"/>
  <c r="G325" i="3" a="1"/>
  <c r="G325" i="3" s="1"/>
  <c r="F325" i="3" a="1"/>
  <c r="F325" i="3" s="1"/>
  <c r="H324" i="3" a="1"/>
  <c r="H324" i="3" s="1"/>
  <c r="G324" i="3" a="1"/>
  <c r="G324" i="3" s="1"/>
  <c r="F324" i="3" a="1"/>
  <c r="F324" i="3" s="1"/>
  <c r="H323" i="3" a="1"/>
  <c r="H323" i="3" s="1"/>
  <c r="G323" i="3" a="1"/>
  <c r="G323" i="3" s="1"/>
  <c r="F323" i="3" a="1"/>
  <c r="F323" i="3" s="1"/>
  <c r="H322" i="3" a="1"/>
  <c r="H322" i="3" s="1"/>
  <c r="G322" i="3" a="1"/>
  <c r="G322" i="3" s="1"/>
  <c r="F322" i="3" a="1"/>
  <c r="F322" i="3" s="1"/>
  <c r="H321" i="3" a="1"/>
  <c r="H321" i="3" s="1"/>
  <c r="G321" i="3" a="1"/>
  <c r="G321" i="3" s="1"/>
  <c r="F321" i="3" a="1"/>
  <c r="F321" i="3" s="1"/>
  <c r="XFD1" i="3" a="1"/>
  <c r="XFD1" i="3" s="1"/>
  <c r="XFD2" i="3" s="1"/>
  <c r="XFD4" i="3" s="1"/>
  <c r="XFD5" i="3" l="1"/>
  <c r="XFD9" i="3" s="1"/>
  <c r="XFD3" i="3"/>
  <c r="XFD8" i="3"/>
  <c r="XFD7" i="3"/>
  <c r="XFD6" i="3"/>
  <c r="A3" i="3" a="1"/>
  <c r="A3" i="3" l="1"/>
  <c r="F300" i="3" a="1"/>
  <c r="J312" i="3" a="1"/>
  <c r="F298" i="3" a="1"/>
  <c r="G306" i="3" a="1"/>
  <c r="G292" i="3" a="1"/>
  <c r="G317" i="3" a="1"/>
  <c r="J286" i="3" a="1"/>
  <c r="J308" i="3" a="1"/>
  <c r="G287" i="3" a="1"/>
  <c r="J288" i="3" a="1"/>
  <c r="F317" i="3" a="1"/>
  <c r="G314" i="3" a="1"/>
  <c r="F291" i="3" a="1"/>
  <c r="J307" i="3" a="1"/>
  <c r="G296" i="3" a="1"/>
  <c r="F303" i="3" a="1"/>
  <c r="G299" i="3" a="1"/>
  <c r="J319" i="3" a="1"/>
  <c r="F318" i="3" a="1"/>
  <c r="G320" i="3" a="1"/>
  <c r="H313" i="3" a="1"/>
  <c r="H301" i="3" a="1"/>
  <c r="J289" i="3" a="1"/>
  <c r="G295" i="3" a="1"/>
  <c r="G272" i="3" a="1"/>
  <c r="H276" i="3" a="1"/>
  <c r="G271" i="3" a="1"/>
  <c r="J276" i="3" a="1"/>
  <c r="F280" i="3" a="1"/>
  <c r="J270" i="3" a="1"/>
  <c r="H278" i="3" a="1"/>
  <c r="J318" i="3" a="1"/>
  <c r="J298" i="3" a="1"/>
  <c r="G319" i="3" a="1"/>
  <c r="J292" i="3" a="1"/>
  <c r="J314" i="3" a="1"/>
  <c r="H288" i="3" a="1"/>
  <c r="G305" i="3" a="1"/>
  <c r="H314" i="3" a="1"/>
  <c r="F312" i="3" a="1"/>
  <c r="H317" i="3" a="1"/>
  <c r="G311" i="3" a="1"/>
  <c r="F305" i="3" a="1"/>
  <c r="F301" i="3" a="1"/>
  <c r="H287" i="3" a="1"/>
  <c r="F288" i="3" a="1"/>
  <c r="J294" i="3" a="1"/>
  <c r="J310" i="3" a="1"/>
  <c r="J296" i="3" a="1"/>
  <c r="H285" i="3" a="1"/>
  <c r="H311" i="3" a="1"/>
  <c r="F316" i="3" a="1"/>
  <c r="H320" i="3" a="1"/>
  <c r="H308" i="3" a="1"/>
  <c r="J304" i="3" a="1"/>
  <c r="J282" i="3" a="1"/>
  <c r="H274" i="3" a="1"/>
  <c r="F278" i="3" a="1"/>
  <c r="G283" i="3" a="1"/>
  <c r="G279" i="3" a="1"/>
  <c r="J271" i="3" a="1"/>
  <c r="F283" i="3" a="1"/>
  <c r="J278" i="3" a="1"/>
  <c r="G309" i="3" a="1"/>
  <c r="H318" i="3" a="1"/>
  <c r="G307" i="3" a="1"/>
  <c r="H316" i="3" a="1"/>
  <c r="F314" i="3" a="1"/>
  <c r="F286" i="3" a="1"/>
  <c r="J317" i="3" a="1"/>
  <c r="H302" i="3" a="1"/>
  <c r="H300" i="3" a="1"/>
  <c r="J313" i="3" a="1"/>
  <c r="J300" i="3" a="1"/>
  <c r="J316" i="3" a="1"/>
  <c r="J302" i="3" a="1"/>
  <c r="F297" i="3" a="1"/>
  <c r="G286" i="3" a="1"/>
  <c r="G313" i="3" a="1"/>
  <c r="H310" i="3" a="1"/>
  <c r="F320" i="3" a="1"/>
  <c r="J299" i="3" a="1"/>
  <c r="H298" i="3" a="1"/>
  <c r="G300" i="3" a="1"/>
  <c r="G310" i="3" a="1"/>
  <c r="G308" i="3" a="1"/>
  <c r="H297" i="3" a="1"/>
  <c r="J281" i="3" a="1"/>
  <c r="J280" i="3" a="1"/>
  <c r="F270" i="3" a="1"/>
  <c r="H280" i="3" a="1"/>
  <c r="J273" i="3" a="1"/>
  <c r="F275" i="3" a="1"/>
  <c r="F271" i="3" a="1"/>
  <c r="J277" i="3" a="1"/>
  <c r="F284" i="3" a="1"/>
  <c r="G277" i="3" a="1"/>
  <c r="G284" i="3" a="1"/>
  <c r="H282" i="3" a="1"/>
  <c r="H283" i="3" a="1"/>
  <c r="G294" i="3" a="1"/>
  <c r="H306" i="3" a="1"/>
  <c r="F293" i="3" a="1"/>
  <c r="H304" i="3" a="1"/>
  <c r="G302" i="3" a="1"/>
  <c r="G293" i="3" a="1"/>
  <c r="F319" i="3" a="1"/>
  <c r="J309" i="3" a="1"/>
  <c r="H292" i="3" a="1"/>
  <c r="G291" i="3" a="1"/>
  <c r="G315" i="3" a="1"/>
  <c r="H312" i="3" a="1"/>
  <c r="F310" i="3" a="1"/>
  <c r="H305" i="3" a="1"/>
  <c r="H293" i="3" a="1"/>
  <c r="G298" i="3" a="1"/>
  <c r="H299" i="3" a="1"/>
  <c r="F308" i="3" a="1"/>
  <c r="F313" i="3" a="1"/>
  <c r="F292" i="3" a="1"/>
  <c r="F294" i="3" a="1"/>
  <c r="F306" i="3" a="1"/>
  <c r="F304" i="3" a="1"/>
  <c r="G297" i="3" a="1"/>
  <c r="F279" i="3" a="1"/>
  <c r="G281" i="3" a="1"/>
  <c r="H269" i="3" a="1"/>
  <c r="J283" i="3" a="1"/>
  <c r="H270" i="3" a="1"/>
  <c r="J293" i="3" a="1"/>
  <c r="H295" i="3" a="1"/>
  <c r="J287" i="3" a="1"/>
  <c r="J315" i="3" a="1"/>
  <c r="J301" i="3" a="1"/>
  <c r="F295" i="3" a="1"/>
  <c r="F307" i="3" a="1"/>
  <c r="G316" i="3" a="1"/>
  <c r="H290" i="3" a="1"/>
  <c r="G289" i="3" a="1"/>
  <c r="G303" i="3" a="1"/>
  <c r="G301" i="3" a="1"/>
  <c r="F299" i="3" a="1"/>
  <c r="H289" i="3" a="1"/>
  <c r="H296" i="3" a="1"/>
  <c r="J305" i="3" a="1"/>
  <c r="J297" i="3" a="1"/>
  <c r="F289" i="3" a="1"/>
  <c r="J320" i="3" a="1"/>
  <c r="H291" i="3" a="1"/>
  <c r="G290" i="3" a="1"/>
  <c r="G285" i="3" a="1"/>
  <c r="H307" i="3" a="1"/>
  <c r="H303" i="3" a="1"/>
  <c r="H277" i="3" a="1"/>
  <c r="G280" i="3" a="1"/>
  <c r="H271" i="3" a="1"/>
  <c r="F282" i="3" a="1"/>
  <c r="H281" i="3" a="1"/>
  <c r="F311" i="3" a="1"/>
  <c r="F296" i="3" a="1"/>
  <c r="F302" i="3" a="1"/>
  <c r="J290" i="3" a="1"/>
  <c r="J279" i="3" a="1"/>
  <c r="F281" i="3" a="1"/>
  <c r="F274" i="3" a="1"/>
  <c r="J275" i="3" a="1"/>
  <c r="J274" i="3" a="1"/>
  <c r="J285" i="3" a="1"/>
  <c r="G304" i="3" a="1"/>
  <c r="H286" i="3" a="1"/>
  <c r="F287" i="3" a="1"/>
  <c r="H279" i="3" a="1"/>
  <c r="F272" i="3" a="1"/>
  <c r="F309" i="3" a="1"/>
  <c r="H319" i="3" a="1"/>
  <c r="G288" i="3" a="1"/>
  <c r="F290" i="3" a="1"/>
  <c r="J284" i="3" a="1"/>
  <c r="G276" i="3" a="1"/>
  <c r="G278" i="3" a="1"/>
  <c r="J306" i="3" a="1"/>
  <c r="G275" i="3" a="1"/>
  <c r="G270" i="3" a="1"/>
  <c r="G282" i="3" a="1"/>
  <c r="G318" i="3" a="1"/>
  <c r="H315" i="3" a="1"/>
  <c r="F315" i="3" a="1"/>
  <c r="F285" i="3" a="1"/>
  <c r="F273" i="3" a="1"/>
  <c r="G274" i="3" a="1"/>
  <c r="J269" i="3" a="1"/>
  <c r="F277" i="3" a="1"/>
  <c r="F276" i="3" a="1"/>
  <c r="H273" i="3" a="1"/>
  <c r="J303" i="3" a="1"/>
  <c r="H294" i="3" a="1"/>
  <c r="J311" i="3" a="1"/>
  <c r="G312" i="3" a="1"/>
  <c r="J295" i="3" a="1"/>
  <c r="H284" i="3" a="1"/>
  <c r="G269" i="3" a="1"/>
  <c r="G273" i="3" a="1"/>
  <c r="H275" i="3" a="1"/>
  <c r="H272" i="3" a="1"/>
  <c r="H309" i="3" a="1"/>
  <c r="J291" i="3" a="1"/>
  <c r="F269" i="3" a="1"/>
  <c r="J272" i="3" a="1"/>
  <c r="J12" i="3" a="1"/>
  <c r="H213" i="3" a="1"/>
  <c r="J144" i="3" a="1"/>
  <c r="F198" i="3" a="1"/>
  <c r="H200" i="3" a="1"/>
  <c r="J251" i="3" a="1"/>
  <c r="J240" i="3" a="1"/>
  <c r="F243" i="3" a="1"/>
  <c r="H185" i="3" a="1"/>
  <c r="J148" i="3" a="1"/>
  <c r="H65" i="3" a="1"/>
  <c r="F50" i="3" a="1"/>
  <c r="H187" i="3" a="1"/>
  <c r="H45" i="3" a="1"/>
  <c r="J186" i="3" a="1"/>
  <c r="J244" i="3" a="1"/>
  <c r="F268" i="3" a="1"/>
  <c r="J65" i="3" a="1"/>
  <c r="F256" i="3" a="1"/>
  <c r="F63" i="3" a="1"/>
  <c r="F170" i="3" a="1"/>
  <c r="J89" i="3" a="1"/>
  <c r="F255" i="3" a="1"/>
  <c r="J94" i="3" a="1"/>
  <c r="G248" i="3" a="1"/>
  <c r="J47" i="3" a="1"/>
  <c r="G233" i="3" a="1"/>
  <c r="F257" i="3" a="1"/>
  <c r="F163" i="3" a="1"/>
  <c r="J268" i="3" a="1"/>
  <c r="F214" i="3" a="1"/>
  <c r="F210" i="3" a="1"/>
  <c r="G53" i="3" a="1"/>
  <c r="J58" i="3" a="1"/>
  <c r="J190" i="3" a="1"/>
  <c r="J162" i="3" a="1"/>
  <c r="F81" i="3" a="1"/>
  <c r="J15" i="3" a="1"/>
  <c r="F119" i="3" a="1"/>
  <c r="G79" i="3" a="1"/>
  <c r="J139" i="3" a="1"/>
  <c r="G71" i="3" a="1"/>
  <c r="F69" i="3" a="1"/>
  <c r="H228" i="3" a="1"/>
  <c r="G193" i="3" a="1"/>
  <c r="G58" i="3" a="1"/>
  <c r="F96" i="3" a="1"/>
  <c r="H243" i="3" a="1"/>
  <c r="F133" i="3" a="1"/>
  <c r="J7" i="3" a="1"/>
  <c r="J96" i="3" a="1"/>
  <c r="J238" i="3" a="1"/>
  <c r="F138" i="3" a="1"/>
  <c r="J149" i="3" a="1"/>
  <c r="F152" i="3" a="1"/>
  <c r="G148" i="3" a="1"/>
  <c r="J60" i="3" a="1"/>
  <c r="J166" i="3" a="1"/>
  <c r="G128" i="3" a="1"/>
  <c r="G169" i="3" a="1"/>
  <c r="J127" i="3" a="1"/>
  <c r="F236" i="3" a="1"/>
  <c r="F44" i="3" a="1"/>
  <c r="G138" i="3" a="1"/>
  <c r="H22" i="3" a="1"/>
  <c r="J26" i="3" a="1"/>
  <c r="J91" i="3" a="1"/>
  <c r="H21" i="3" a="1"/>
  <c r="H174" i="3" a="1"/>
  <c r="F222" i="3" a="1"/>
  <c r="G103" i="3" a="1"/>
  <c r="J32" i="3" a="1"/>
  <c r="F137" i="3" a="1"/>
  <c r="G174" i="3" a="1"/>
  <c r="G84" i="3" a="1"/>
  <c r="F261" i="3" a="1"/>
  <c r="H13" i="3" a="1"/>
  <c r="H166" i="3" a="1"/>
  <c r="G16" i="3" a="1"/>
  <c r="G122" i="3" a="1"/>
  <c r="G157" i="3" a="1"/>
  <c r="F205" i="3" a="1"/>
  <c r="G57" i="3" a="1"/>
  <c r="H27" i="3" a="1"/>
  <c r="G73" i="3" a="1"/>
  <c r="F213" i="3" a="1"/>
  <c r="H233" i="3" a="1"/>
  <c r="J87" i="3" a="1"/>
  <c r="H90" i="3" a="1"/>
  <c r="H5" i="3" a="1"/>
  <c r="J27" i="3" a="1"/>
  <c r="H204" i="3" a="1"/>
  <c r="G44" i="3" a="1"/>
  <c r="J252" i="3" a="1"/>
  <c r="H135" i="3" a="1"/>
  <c r="G232" i="3" a="1"/>
  <c r="F201" i="3" a="1"/>
  <c r="F218" i="3" a="1"/>
  <c r="H192" i="3" a="1"/>
  <c r="G197" i="3" a="1"/>
  <c r="G26" i="3" a="1"/>
  <c r="G236" i="3" a="1"/>
  <c r="J22" i="3" a="1"/>
  <c r="G217" i="3" a="1"/>
  <c r="H55" i="3" a="1"/>
  <c r="J134" i="3" a="1"/>
  <c r="F186" i="3" a="1"/>
  <c r="F70" i="3" a="1"/>
  <c r="G201" i="3" a="1"/>
  <c r="H178" i="3" a="1"/>
  <c r="G121" i="3" a="1"/>
  <c r="G43" i="3" a="1"/>
  <c r="H131" i="3" a="1"/>
  <c r="F36" i="3" a="1"/>
  <c r="F15" i="3" a="1"/>
  <c r="J152" i="3" a="1"/>
  <c r="J254" i="3" a="1"/>
  <c r="G127" i="3" a="1"/>
  <c r="J115" i="3" a="1"/>
  <c r="F145" i="3" a="1"/>
  <c r="H101" i="3" a="1"/>
  <c r="J265" i="3" a="1"/>
  <c r="J182" i="3" a="1"/>
  <c r="F166" i="3" a="1"/>
  <c r="H170" i="3" a="1"/>
  <c r="J38" i="3" a="1"/>
  <c r="F189" i="3" a="1"/>
  <c r="H63" i="3" a="1"/>
  <c r="G161" i="3" a="1"/>
  <c r="F92" i="3" a="1"/>
  <c r="G13" i="3" a="1"/>
  <c r="J164" i="3" a="1"/>
  <c r="H205" i="3" a="1"/>
  <c r="J70" i="3" a="1"/>
  <c r="J34" i="3" a="1"/>
  <c r="H179" i="3" a="1"/>
  <c r="H207" i="3" a="1"/>
  <c r="J126" i="3" a="1"/>
  <c r="H196" i="3" a="1"/>
  <c r="G192" i="3" a="1"/>
  <c r="J215" i="3" a="1"/>
  <c r="H257" i="3" a="1"/>
  <c r="J54" i="3" a="1"/>
  <c r="G209" i="3" a="1"/>
  <c r="J212" i="3" a="1"/>
  <c r="J37" i="3" a="1"/>
  <c r="H181" i="3" a="1"/>
  <c r="F144" i="3" a="1"/>
  <c r="J18" i="3" a="1"/>
  <c r="F194" i="3" a="1"/>
  <c r="G194" i="3" a="1"/>
  <c r="J179" i="3" a="1"/>
  <c r="G222" i="3" a="1"/>
  <c r="H214" i="3" a="1"/>
  <c r="J169" i="3" a="1"/>
  <c r="F76" i="3" a="1"/>
  <c r="H107" i="3" a="1"/>
  <c r="H18" i="3" a="1"/>
  <c r="J175" i="3" a="1"/>
  <c r="J40" i="3" a="1"/>
  <c r="F212" i="3" a="1"/>
  <c r="J260" i="3" a="1"/>
  <c r="H256" i="3" a="1"/>
  <c r="J192" i="3" a="1"/>
  <c r="G254" i="3" a="1"/>
  <c r="H260" i="3" a="1"/>
  <c r="F245" i="3" a="1"/>
  <c r="G104" i="3" a="1"/>
  <c r="H261" i="3" a="1"/>
  <c r="J165" i="3" a="1"/>
  <c r="G191" i="3" a="1"/>
  <c r="F147" i="3" a="1"/>
  <c r="G17" i="3" a="1"/>
  <c r="J66" i="3" a="1"/>
  <c r="J67" i="3" a="1"/>
  <c r="J16" i="3" a="1"/>
  <c r="G112" i="3" a="1"/>
  <c r="J14" i="3" a="1"/>
  <c r="G109" i="3" a="1"/>
  <c r="F37" i="3" a="1"/>
  <c r="J231" i="3" a="1"/>
  <c r="J253" i="3" a="1"/>
  <c r="H102" i="3" a="1"/>
  <c r="F110" i="3" a="1"/>
  <c r="G242" i="3" a="1"/>
  <c r="G96" i="3" a="1"/>
  <c r="F24" i="3" a="1"/>
  <c r="H116" i="3" a="1"/>
  <c r="G234" i="3" a="1"/>
  <c r="F58" i="3" a="1"/>
  <c r="J79" i="3" a="1"/>
  <c r="G163" i="3" a="1"/>
  <c r="H153" i="3" a="1"/>
  <c r="J242" i="3" a="1"/>
  <c r="G41" i="3" a="1"/>
  <c r="G97" i="3" a="1"/>
  <c r="F21" i="3" a="1"/>
  <c r="J82" i="3" a="1"/>
  <c r="G240" i="3" a="1"/>
  <c r="H70" i="3" a="1"/>
  <c r="G18" i="3" a="1"/>
  <c r="F241" i="3" a="1"/>
  <c r="G144" i="3" a="1"/>
  <c r="H40" i="3" a="1"/>
  <c r="F204" i="3" a="1"/>
  <c r="F111" i="3" a="1"/>
  <c r="F167" i="3" a="1"/>
  <c r="H237" i="3" a="1"/>
  <c r="G139" i="3" a="1"/>
  <c r="F43" i="3" a="1"/>
  <c r="F139" i="3" a="1"/>
  <c r="G195" i="3" a="1"/>
  <c r="H67" i="3" a="1"/>
  <c r="G237" i="3" a="1"/>
  <c r="G198" i="3" a="1"/>
  <c r="F225" i="3" a="1"/>
  <c r="F180" i="3" a="1"/>
  <c r="G135" i="3" a="1"/>
  <c r="H51" i="3" a="1"/>
  <c r="J64" i="3" a="1"/>
  <c r="G225" i="3" a="1"/>
  <c r="G190" i="3" a="1"/>
  <c r="H163" i="3" a="1"/>
  <c r="F90" i="3" a="1"/>
  <c r="H122" i="3" a="1"/>
  <c r="G141" i="3" a="1"/>
  <c r="F161" i="3" a="1"/>
  <c r="J223" i="3" a="1"/>
  <c r="G214" i="3" a="1"/>
  <c r="H168" i="3" a="1"/>
  <c r="J74" i="3" a="1"/>
  <c r="F126" i="3" a="1"/>
  <c r="F131" i="3" a="1"/>
  <c r="J249" i="3" a="1"/>
  <c r="G27" i="3" a="1"/>
  <c r="F35" i="3" a="1"/>
  <c r="F41" i="3" a="1"/>
  <c r="G65" i="3" a="1"/>
  <c r="F237" i="3" a="1"/>
  <c r="J11" i="3" a="1"/>
  <c r="J258" i="3" a="1"/>
  <c r="H220" i="3" a="1"/>
  <c r="J75" i="3" a="1"/>
  <c r="G42" i="3" a="1"/>
  <c r="J55" i="3" a="1"/>
  <c r="H47" i="3" a="1"/>
  <c r="H258" i="3" a="1"/>
  <c r="J39" i="3" a="1"/>
  <c r="G259" i="3" a="1"/>
  <c r="H32" i="3" a="1"/>
  <c r="G55" i="3" a="1"/>
  <c r="H169" i="3" a="1"/>
  <c r="G100" i="3" a="1"/>
  <c r="F4" i="3" a="1"/>
  <c r="F208" i="3" a="1"/>
  <c r="F132" i="3" a="1"/>
  <c r="J133" i="3" a="1"/>
  <c r="G153" i="3" a="1"/>
  <c r="J245" i="3" a="1"/>
  <c r="J222" i="3" a="1"/>
  <c r="G119" i="3" a="1"/>
  <c r="G113" i="3" a="1"/>
  <c r="J97" i="3" a="1"/>
  <c r="G123" i="3" a="1"/>
  <c r="G93" i="3" a="1"/>
  <c r="F86" i="3" a="1"/>
  <c r="J219" i="3" a="1"/>
  <c r="F97" i="3" a="1"/>
  <c r="J157" i="3" a="1"/>
  <c r="J107" i="3" a="1"/>
  <c r="H79" i="3" a="1"/>
  <c r="G77" i="3" a="1"/>
  <c r="J266" i="3" a="1"/>
  <c r="H140" i="3" a="1"/>
  <c r="G92" i="3" a="1"/>
  <c r="G56" i="3" a="1"/>
  <c r="F109" i="3" a="1"/>
  <c r="J151" i="3" a="1"/>
  <c r="F158" i="3" a="1"/>
  <c r="H147" i="3" a="1"/>
  <c r="F135" i="3" a="1"/>
  <c r="J110" i="3" a="1"/>
  <c r="F153" i="3" a="1"/>
  <c r="J78" i="3" a="1"/>
  <c r="J202" i="3" a="1"/>
  <c r="H136" i="3" a="1"/>
  <c r="F173" i="3" a="1"/>
  <c r="J20" i="3" a="1"/>
  <c r="G143" i="3" a="1"/>
  <c r="H157" i="3" a="1"/>
  <c r="J201" i="3" a="1"/>
  <c r="H199" i="3" a="1"/>
  <c r="G155" i="3" a="1"/>
  <c r="J228" i="3" a="1"/>
  <c r="F239" i="3" a="1"/>
  <c r="F116" i="3" a="1"/>
  <c r="G102" i="3" a="1"/>
  <c r="J239" i="3" a="1"/>
  <c r="G238" i="3" a="1"/>
  <c r="F232" i="3" a="1"/>
  <c r="J102" i="3" a="1"/>
  <c r="H259" i="3" a="1"/>
  <c r="H218" i="3" a="1"/>
  <c r="J167" i="3" a="1"/>
  <c r="H227" i="3" a="1"/>
  <c r="G226" i="3" a="1"/>
  <c r="H248" i="3" a="1"/>
  <c r="F121" i="3" a="1"/>
  <c r="H236" i="3" a="1"/>
  <c r="J6" i="3" a="1"/>
  <c r="F174" i="3" a="1"/>
  <c r="G202" i="3" a="1"/>
  <c r="F57" i="3" a="1"/>
  <c r="J62" i="3" a="1"/>
  <c r="J161" i="3" a="1"/>
  <c r="G133" i="3" a="1"/>
  <c r="J181" i="3" a="1"/>
  <c r="G124" i="3" a="1"/>
  <c r="F211" i="3" a="1"/>
  <c r="G78" i="3" a="1"/>
  <c r="J71" i="3" a="1"/>
  <c r="F84" i="3" a="1"/>
  <c r="H26" i="3" a="1"/>
  <c r="G38" i="3" a="1"/>
  <c r="F142" i="3" a="1"/>
  <c r="G258" i="3" a="1"/>
  <c r="F56" i="3" a="1"/>
  <c r="J42" i="3" a="1"/>
  <c r="J140" i="3" a="1"/>
  <c r="J172" i="3" a="1"/>
  <c r="F259" i="3" a="1"/>
  <c r="F29" i="3" a="1"/>
  <c r="F112" i="3" a="1"/>
  <c r="F23" i="3" a="1"/>
  <c r="J206" i="3" a="1"/>
  <c r="J147" i="3" a="1"/>
  <c r="F164" i="3" a="1"/>
  <c r="H111" i="3" a="1"/>
  <c r="F156" i="3" a="1"/>
  <c r="F200" i="3" a="1"/>
  <c r="H6" i="3" a="1"/>
  <c r="H29" i="3" a="1"/>
  <c r="H253" i="3" a="1"/>
  <c r="F267" i="3" a="1"/>
  <c r="J211" i="3" a="1"/>
  <c r="H82" i="3" a="1"/>
  <c r="G47" i="3" a="1"/>
  <c r="G261" i="3" a="1"/>
  <c r="F75" i="3" a="1"/>
  <c r="F3" i="3" a="1"/>
  <c r="F10" i="3" a="1"/>
  <c r="F22" i="3" a="1"/>
  <c r="G263" i="3" a="1"/>
  <c r="H83" i="3" a="1"/>
  <c r="G149" i="3" a="1"/>
  <c r="J125" i="3" a="1"/>
  <c r="F40" i="3" a="1"/>
  <c r="G158" i="3" a="1"/>
  <c r="J23" i="3" a="1"/>
  <c r="G170" i="3" a="1"/>
  <c r="F253" i="3" a="1"/>
  <c r="J43" i="3" a="1"/>
  <c r="H201" i="3" a="1"/>
  <c r="H144" i="3" a="1"/>
  <c r="H255" i="3" a="1"/>
  <c r="G129" i="3" a="1"/>
  <c r="F39" i="3" a="1"/>
  <c r="J261" i="3" a="1"/>
  <c r="G186" i="3" a="1"/>
  <c r="J196" i="3" a="1"/>
  <c r="J180" i="3" a="1"/>
  <c r="F216" i="3" a="1"/>
  <c r="H206" i="3" a="1"/>
  <c r="J189" i="3" a="1"/>
  <c r="H176" i="3" a="1"/>
  <c r="F238" i="3" a="1"/>
  <c r="H221" i="3" a="1"/>
  <c r="H223" i="3" a="1"/>
  <c r="J226" i="3" a="1"/>
  <c r="G89" i="3" a="1"/>
  <c r="H126" i="3" a="1"/>
  <c r="G19" i="3" a="1"/>
  <c r="J122" i="3" a="1"/>
  <c r="F49" i="3" a="1"/>
  <c r="J247" i="3" a="1"/>
  <c r="H250" i="3" a="1"/>
  <c r="G265" i="3" a="1"/>
  <c r="G39" i="3" a="1"/>
  <c r="G250" i="3" a="1"/>
  <c r="J174" i="3" a="1"/>
  <c r="G167" i="3" a="1"/>
  <c r="G87" i="3" a="1"/>
  <c r="J49" i="3" a="1"/>
  <c r="H210" i="3" a="1"/>
  <c r="F262" i="3" a="1"/>
  <c r="G253" i="3" a="1"/>
  <c r="J208" i="3" a="1"/>
  <c r="F265" i="3" a="1"/>
  <c r="J178" i="3" a="1"/>
  <c r="G166" i="3" a="1"/>
  <c r="J44" i="3" a="1"/>
  <c r="F7" i="3" a="1"/>
  <c r="G4" i="3" a="1"/>
  <c r="F254" i="3" a="1"/>
  <c r="J141" i="3" a="1"/>
  <c r="H94" i="3" a="1"/>
  <c r="J267" i="3" a="1"/>
  <c r="J86" i="3" a="1"/>
  <c r="F104" i="3" a="1"/>
  <c r="H115" i="3" a="1"/>
  <c r="J105" i="3" a="1"/>
  <c r="F78" i="3" a="1"/>
  <c r="F107" i="3" a="1"/>
  <c r="J104" i="3" a="1"/>
  <c r="G247" i="3" a="1"/>
  <c r="H120" i="3" a="1"/>
  <c r="J159" i="3" a="1"/>
  <c r="H149" i="3" a="1"/>
  <c r="G168" i="3" a="1"/>
  <c r="H96" i="3" a="1"/>
  <c r="G142" i="3" a="1"/>
  <c r="J229" i="3" a="1"/>
  <c r="H183" i="3" a="1"/>
  <c r="J204" i="3" a="1"/>
  <c r="J73" i="3" a="1"/>
  <c r="F155" i="3" a="1"/>
  <c r="H141" i="3" a="1"/>
  <c r="J5" i="3" a="1"/>
  <c r="G199" i="3" a="1"/>
  <c r="H195" i="3" a="1"/>
  <c r="J24" i="3" a="1"/>
  <c r="G207" i="3" a="1"/>
  <c r="H234" i="3" a="1"/>
  <c r="J184" i="3" a="1"/>
  <c r="G80" i="3" a="1"/>
  <c r="G61" i="3" a="1"/>
  <c r="H254" i="3" a="1"/>
  <c r="F185" i="3" a="1"/>
  <c r="J135" i="3" a="1"/>
  <c r="H84" i="3" a="1"/>
  <c r="J108" i="3" a="1"/>
  <c r="H208" i="3" a="1"/>
  <c r="F53" i="3" a="1"/>
  <c r="J207" i="3" a="1"/>
  <c r="H244" i="3" a="1"/>
  <c r="G62" i="3" a="1"/>
  <c r="J114" i="3" a="1"/>
  <c r="G146" i="3" a="1"/>
  <c r="F129" i="3" a="1"/>
  <c r="H112" i="3" a="1"/>
  <c r="F172" i="3" a="1"/>
  <c r="F87" i="3" a="1"/>
  <c r="G72" i="3" a="1"/>
  <c r="H155" i="3" a="1"/>
  <c r="H61" i="3" a="1"/>
  <c r="H62" i="3" a="1"/>
  <c r="F114" i="3" a="1"/>
  <c r="J3" i="3" a="1"/>
  <c r="H92" i="3" a="1"/>
  <c r="G60" i="3" a="1"/>
  <c r="G224" i="3" a="1"/>
  <c r="G90" i="3" a="1"/>
  <c r="J46" i="3" a="1"/>
  <c r="H98" i="3" a="1"/>
  <c r="F146" i="3" a="1"/>
  <c r="G31" i="3" a="1"/>
  <c r="J171" i="3" a="1"/>
  <c r="G212" i="3" a="1"/>
  <c r="F226" i="3" a="1"/>
  <c r="F14" i="3" a="1"/>
  <c r="F227" i="3" a="1"/>
  <c r="G150" i="3" a="1"/>
  <c r="F67" i="3" a="1"/>
  <c r="G101" i="3" a="1"/>
  <c r="F187" i="3" a="1"/>
  <c r="G152" i="3" a="1"/>
  <c r="G48" i="3" a="1"/>
  <c r="F207" i="3" a="1"/>
  <c r="F192" i="3" a="1"/>
  <c r="F98" i="3" a="1"/>
  <c r="H133" i="3" a="1"/>
  <c r="H72" i="3" a="1"/>
  <c r="H17" i="3" a="1"/>
  <c r="J72" i="3" a="1"/>
  <c r="F202" i="3" a="1"/>
  <c r="H93" i="3" a="1"/>
  <c r="F127" i="3" a="1"/>
  <c r="H128" i="3" a="1"/>
  <c r="H262" i="3" a="1"/>
  <c r="J197" i="3" a="1"/>
  <c r="F203" i="3" a="1"/>
  <c r="J59" i="3" a="1"/>
  <c r="J81" i="3" a="1"/>
  <c r="H118" i="3" a="1"/>
  <c r="H186" i="3" a="1"/>
  <c r="J250" i="3" a="1"/>
  <c r="H180" i="3" a="1"/>
  <c r="F151" i="3" a="1"/>
  <c r="J262" i="3" a="1"/>
  <c r="H97" i="3" a="1"/>
  <c r="F128" i="3" a="1"/>
  <c r="J168" i="3" a="1"/>
  <c r="G227" i="3" a="1"/>
  <c r="H75" i="3" a="1"/>
  <c r="J232" i="3" a="1"/>
  <c r="J8" i="3" a="1"/>
  <c r="G251" i="3" a="1"/>
  <c r="J36" i="3" a="1"/>
  <c r="G205" i="3" a="1"/>
  <c r="H202" i="3" a="1"/>
  <c r="J160" i="3" a="1"/>
  <c r="J116" i="3" a="1"/>
  <c r="G208" i="3" a="1"/>
  <c r="G204" i="3" a="1"/>
  <c r="J156" i="3" a="1"/>
  <c r="J88" i="3" a="1"/>
  <c r="J210" i="3" a="1"/>
  <c r="F181" i="3" a="1"/>
  <c r="J56" i="3" a="1"/>
  <c r="H151" i="3" a="1"/>
  <c r="F159" i="3" a="1"/>
  <c r="J113" i="3" a="1"/>
  <c r="H209" i="3" a="1"/>
  <c r="G218" i="3" a="1"/>
  <c r="J92" i="3" a="1"/>
  <c r="H240" i="3" a="1"/>
  <c r="H11" i="3" a="1"/>
  <c r="G241" i="3" a="1"/>
  <c r="G151" i="3" a="1"/>
  <c r="G54" i="3" a="1"/>
  <c r="J121" i="3" a="1"/>
  <c r="F176" i="3" a="1"/>
  <c r="J112" i="3" a="1"/>
  <c r="J203" i="3" a="1"/>
  <c r="F229" i="3" a="1"/>
  <c r="G235" i="3" a="1"/>
  <c r="F250" i="3" a="1"/>
  <c r="J76" i="3" a="1"/>
  <c r="G262" i="3" a="1"/>
  <c r="G229" i="3" a="1"/>
  <c r="J194" i="3" a="1"/>
  <c r="H167" i="3" a="1"/>
  <c r="H229" i="3" a="1"/>
  <c r="J95" i="3" a="1"/>
  <c r="F221" i="3" a="1"/>
  <c r="H59" i="3" a="1"/>
  <c r="H49" i="3" a="1"/>
  <c r="H231" i="3" a="1"/>
  <c r="J33" i="3" a="1"/>
  <c r="H137" i="3" a="1"/>
  <c r="J170" i="3" a="1"/>
  <c r="G115" i="3" a="1"/>
  <c r="G82" i="3" a="1"/>
  <c r="J241" i="3" a="1"/>
  <c r="G206" i="3" a="1"/>
  <c r="F71" i="3" a="1"/>
  <c r="J220" i="3" a="1"/>
  <c r="H216" i="3" a="1"/>
  <c r="H88" i="3" a="1"/>
  <c r="J101" i="3" a="1"/>
  <c r="G110" i="3" a="1"/>
  <c r="F46" i="3" a="1"/>
  <c r="F48" i="3" a="1"/>
  <c r="G116" i="3" a="1"/>
  <c r="G159" i="3" a="1"/>
  <c r="G134" i="3" a="1"/>
  <c r="J45" i="3" a="1"/>
  <c r="F258" i="3" a="1"/>
  <c r="G245" i="3" a="1"/>
  <c r="F196" i="3" a="1"/>
  <c r="H103" i="3" a="1"/>
  <c r="F6" i="3" a="1"/>
  <c r="H242" i="3" a="1"/>
  <c r="G98" i="3" a="1"/>
  <c r="F263" i="3" a="1"/>
  <c r="H127" i="3" a="1"/>
  <c r="H20" i="3" a="1"/>
  <c r="H24" i="3" a="1"/>
  <c r="H68" i="3" a="1"/>
  <c r="J214" i="3" a="1"/>
  <c r="G37" i="3" a="1"/>
  <c r="G76" i="3" a="1"/>
  <c r="F68" i="3" a="1"/>
  <c r="J200" i="3" a="1"/>
  <c r="F266" i="3" a="1"/>
  <c r="G45" i="3" a="1"/>
  <c r="G40" i="3" a="1"/>
  <c r="J90" i="3" a="1"/>
  <c r="F240" i="3" a="1"/>
  <c r="F95" i="3" a="1"/>
  <c r="H246" i="3" a="1"/>
  <c r="H194" i="3" a="1"/>
  <c r="G95" i="3" a="1"/>
  <c r="J35" i="3" a="1"/>
  <c r="H81" i="3" a="1"/>
  <c r="J119" i="3" a="1"/>
  <c r="G264" i="3" a="1"/>
  <c r="H123" i="3" a="1"/>
  <c r="J52" i="3" a="1"/>
  <c r="H117" i="3" a="1"/>
  <c r="H182" i="3" a="1"/>
  <c r="F77" i="3" a="1"/>
  <c r="J130" i="3" a="1"/>
  <c r="H53" i="3" a="1"/>
  <c r="H48" i="3" a="1"/>
  <c r="J99" i="3" a="1"/>
  <c r="H146" i="3" a="1"/>
  <c r="J183" i="3" a="1"/>
  <c r="H95" i="3" a="1"/>
  <c r="H100" i="3" a="1"/>
  <c r="J199" i="3" a="1"/>
  <c r="J63" i="3" a="1"/>
  <c r="G108" i="3" a="1"/>
  <c r="F106" i="3" a="1"/>
  <c r="J68" i="3" a="1"/>
  <c r="J205" i="3" a="1"/>
  <c r="G118" i="3" a="1"/>
  <c r="J123" i="3" a="1"/>
  <c r="G86" i="3" a="1"/>
  <c r="F120" i="3" a="1"/>
  <c r="J209" i="3" a="1"/>
  <c r="J137" i="3" a="1"/>
  <c r="G107" i="3" a="1"/>
  <c r="F105" i="3" a="1"/>
  <c r="H249" i="3" a="1"/>
  <c r="H159" i="3" a="1"/>
  <c r="G70" i="3" a="1"/>
  <c r="H161" i="3" a="1"/>
  <c r="G5" i="3" a="1"/>
  <c r="J216" i="3" a="1"/>
  <c r="J248" i="3" a="1"/>
  <c r="J235" i="3" a="1"/>
  <c r="F183" i="3" a="1"/>
  <c r="J41" i="3" a="1"/>
  <c r="H212" i="3" a="1"/>
  <c r="F123" i="3" a="1"/>
  <c r="J176" i="3" a="1"/>
  <c r="J257" i="3" a="1"/>
  <c r="G164" i="3" a="1"/>
  <c r="H142" i="3" a="1"/>
  <c r="J217" i="3" a="1"/>
  <c r="H245" i="3" a="1"/>
  <c r="F61" i="3" a="1"/>
  <c r="G220" i="3" a="1"/>
  <c r="G162" i="3" a="1"/>
  <c r="F55" i="3" a="1"/>
  <c r="J129" i="3" a="1"/>
  <c r="G63" i="3" a="1"/>
  <c r="J177" i="3" a="1"/>
  <c r="J136" i="3" a="1"/>
  <c r="G230" i="3" a="1"/>
  <c r="H247" i="3" a="1"/>
  <c r="H222" i="3" a="1"/>
  <c r="J224" i="3" a="1"/>
  <c r="G267" i="3" a="1"/>
  <c r="H241" i="3" a="1"/>
  <c r="J155" i="3" a="1"/>
  <c r="H121" i="3" a="1"/>
  <c r="H74" i="3" a="1"/>
  <c r="J109" i="3" a="1"/>
  <c r="G228" i="3" a="1"/>
  <c r="F60" i="3" a="1"/>
  <c r="J142" i="3" a="1"/>
  <c r="F199" i="3" a="1"/>
  <c r="J187" i="3" a="1"/>
  <c r="J128" i="3" a="1"/>
  <c r="G215" i="3" a="1"/>
  <c r="F182" i="3" a="1"/>
  <c r="F31" i="3" a="1"/>
  <c r="G154" i="3" a="1"/>
  <c r="H36" i="3" a="1"/>
  <c r="G91" i="3" a="1"/>
  <c r="H265" i="3" a="1"/>
  <c r="J51" i="3" a="1"/>
  <c r="F103" i="3" a="1"/>
  <c r="G120" i="3" a="1"/>
  <c r="F33" i="3" a="1"/>
  <c r="H251" i="3" a="1"/>
  <c r="G10" i="3" a="1"/>
  <c r="H69" i="3" a="1"/>
  <c r="H42" i="3" a="1"/>
  <c r="G6" i="3" a="1"/>
  <c r="H171" i="3" a="1"/>
  <c r="J264" i="3" a="1"/>
  <c r="F74" i="3" a="1"/>
  <c r="H217" i="3" a="1"/>
  <c r="J150" i="3" a="1"/>
  <c r="G179" i="3" a="1"/>
  <c r="F32" i="3" a="1"/>
  <c r="J227" i="3" a="1"/>
  <c r="F89" i="3" a="1"/>
  <c r="H19" i="3" a="1"/>
  <c r="G175" i="3" a="1"/>
  <c r="F83" i="3" a="1"/>
  <c r="F235" i="3" a="1"/>
  <c r="J237" i="3" a="1"/>
  <c r="J256" i="3" a="1"/>
  <c r="J153" i="3" a="1"/>
  <c r="J83" i="3" a="1"/>
  <c r="G94" i="3" a="1"/>
  <c r="H86" i="3" a="1"/>
  <c r="H226" i="3" a="1"/>
  <c r="F219" i="3" a="1"/>
  <c r="F175" i="3" a="1"/>
  <c r="H264" i="3" a="1"/>
  <c r="F141" i="3" a="1"/>
  <c r="F25" i="3" a="1"/>
  <c r="J103" i="3" a="1"/>
  <c r="H114" i="3" a="1"/>
  <c r="G165" i="3" a="1"/>
  <c r="F13" i="3" a="1"/>
  <c r="J9" i="3" a="1"/>
  <c r="F231" i="3" a="1"/>
  <c r="F18" i="3" a="1"/>
  <c r="H130" i="3" a="1"/>
  <c r="G239" i="3" a="1"/>
  <c r="H4" i="3" a="1"/>
  <c r="J118" i="3" a="1"/>
  <c r="G23" i="3" a="1"/>
  <c r="G11" i="3" a="1"/>
  <c r="H108" i="3" a="1"/>
  <c r="F246" i="3" a="1"/>
  <c r="F195" i="3" a="1"/>
  <c r="F177" i="3" a="1"/>
  <c r="J84" i="3" a="1"/>
  <c r="F102" i="3" a="1"/>
  <c r="H154" i="3" a="1"/>
  <c r="H46" i="3" a="1"/>
  <c r="F82" i="3" a="1"/>
  <c r="H172" i="3" a="1"/>
  <c r="H85" i="3" a="1"/>
  <c r="G213" i="3" a="1"/>
  <c r="G188" i="3" a="1"/>
  <c r="H198" i="3" a="1"/>
  <c r="F45" i="3" a="1"/>
  <c r="F134" i="3" a="1"/>
  <c r="H38" i="3" a="1"/>
  <c r="G176" i="3" a="1"/>
  <c r="J80" i="3" a="1"/>
  <c r="H184" i="3" a="1"/>
  <c r="G51" i="3" a="1"/>
  <c r="F179" i="3" a="1"/>
  <c r="G25" i="3" a="1"/>
  <c r="G64" i="3" a="1"/>
  <c r="H34" i="3" a="1"/>
  <c r="F136" i="3" a="1"/>
  <c r="F242" i="3" a="1"/>
  <c r="G28" i="3" a="1"/>
  <c r="F249" i="3" a="1"/>
  <c r="F252" i="3" a="1"/>
  <c r="F244" i="3" a="1"/>
  <c r="J29" i="3" a="1"/>
  <c r="H148" i="3" a="1"/>
  <c r="H66" i="3" a="1"/>
  <c r="H57" i="3" a="1"/>
  <c r="F62" i="3" a="1"/>
  <c r="G200" i="3" a="1"/>
  <c r="H76" i="3" a="1"/>
  <c r="H145" i="3" a="1"/>
  <c r="F9" i="3" a="1"/>
  <c r="H113" i="3" a="1"/>
  <c r="H268" i="3" a="1"/>
  <c r="G12" i="3" a="1"/>
  <c r="J233" i="3" a="1"/>
  <c r="G131" i="3" a="1"/>
  <c r="H58" i="3" a="1"/>
  <c r="H165" i="3" a="1"/>
  <c r="G32" i="3" a="1"/>
  <c r="G49" i="3" a="1"/>
  <c r="F17" i="3" a="1"/>
  <c r="G260" i="3" a="1"/>
  <c r="H99" i="3" a="1"/>
  <c r="G68" i="3" a="1"/>
  <c r="H60" i="3" a="1"/>
  <c r="F16" i="3" a="1"/>
  <c r="G147" i="3" a="1"/>
  <c r="H252" i="3" a="1"/>
  <c r="H129" i="3" a="1"/>
  <c r="H14" i="3" a="1"/>
  <c r="G256" i="3" a="1"/>
  <c r="G24" i="3" a="1"/>
  <c r="F80" i="3" a="1"/>
  <c r="J4" i="3" a="1"/>
  <c r="F224" i="3" a="1"/>
  <c r="G211" i="3" a="1"/>
  <c r="G257" i="3" a="1"/>
  <c r="H230" i="3" a="1"/>
  <c r="J31" i="3" a="1"/>
  <c r="J10" i="3" a="1"/>
  <c r="F113" i="3" a="1"/>
  <c r="G29" i="3" a="1"/>
  <c r="F100" i="3" a="1"/>
  <c r="G99" i="3" a="1"/>
  <c r="G132" i="3" a="1"/>
  <c r="G223" i="3" a="1"/>
  <c r="H190" i="3" a="1"/>
  <c r="G88" i="3" a="1"/>
  <c r="J213" i="3" a="1"/>
  <c r="F85" i="3" a="1"/>
  <c r="H33" i="3" a="1"/>
  <c r="F27" i="3" a="1"/>
  <c r="G46" i="3" a="1"/>
  <c r="F88" i="3" a="1"/>
  <c r="H52" i="3" a="1"/>
  <c r="J146" i="3" a="1"/>
  <c r="F11" i="3" a="1"/>
  <c r="H89" i="3" a="1"/>
  <c r="G231" i="3" a="1"/>
  <c r="F118" i="3" a="1"/>
  <c r="H152" i="3" a="1"/>
  <c r="G189" i="3" a="1"/>
  <c r="G171" i="3" a="1"/>
  <c r="F188" i="3" a="1"/>
  <c r="J50" i="3" a="1"/>
  <c r="J198" i="3" a="1"/>
  <c r="H41" i="3" a="1"/>
  <c r="H8" i="3" a="1"/>
  <c r="G252" i="3" a="1"/>
  <c r="F108" i="3" a="1"/>
  <c r="J124" i="3" a="1"/>
  <c r="H197" i="3" a="1"/>
  <c r="G172" i="3" a="1"/>
  <c r="H43" i="3" a="1"/>
  <c r="J30" i="3" a="1"/>
  <c r="F260" i="3" a="1"/>
  <c r="G7" i="3" a="1"/>
  <c r="H54" i="3" a="1"/>
  <c r="H91" i="3" a="1"/>
  <c r="H203" i="3" a="1"/>
  <c r="H10" i="3" a="1"/>
  <c r="H235" i="3" a="1"/>
  <c r="F220" i="3" a="1"/>
  <c r="G111" i="3" a="1"/>
  <c r="G105" i="3" a="1"/>
  <c r="H30" i="3" a="1"/>
  <c r="G180" i="3" a="1"/>
  <c r="G21" i="3" a="1"/>
  <c r="G33" i="3" a="1"/>
  <c r="F190" i="3" a="1"/>
  <c r="G52" i="3" a="1"/>
  <c r="G35" i="3" a="1"/>
  <c r="H225" i="3" a="1"/>
  <c r="H37" i="3" a="1"/>
  <c r="G36" i="3" a="1"/>
  <c r="H106" i="3" a="1"/>
  <c r="H189" i="3" a="1"/>
  <c r="H12" i="3" a="1"/>
  <c r="G185" i="3" a="1"/>
  <c r="G160" i="3" a="1"/>
  <c r="G75" i="3" a="1"/>
  <c r="F209" i="3" a="1"/>
  <c r="H156" i="3" a="1"/>
  <c r="F233" i="3" a="1"/>
  <c r="J111" i="3" a="1"/>
  <c r="H119" i="3" a="1"/>
  <c r="F122" i="3" a="1"/>
  <c r="F162" i="3" a="1"/>
  <c r="F150" i="3" a="1"/>
  <c r="F30" i="3" a="1"/>
  <c r="H39" i="3" a="1"/>
  <c r="H173" i="3" a="1"/>
  <c r="G137" i="3" a="1"/>
  <c r="F160" i="3" a="1"/>
  <c r="G114" i="3" a="1"/>
  <c r="F5" i="3" a="1"/>
  <c r="G184" i="3" a="1"/>
  <c r="H158" i="3" a="1"/>
  <c r="H211" i="3" a="1"/>
  <c r="F117" i="3" a="1"/>
  <c r="F73" i="3" a="1"/>
  <c r="G83" i="3" a="1"/>
  <c r="F191" i="3" a="1"/>
  <c r="G130" i="3" a="1"/>
  <c r="G59" i="3" a="1"/>
  <c r="J93" i="3" a="1"/>
  <c r="F193" i="3" a="1"/>
  <c r="H71" i="3" a="1"/>
  <c r="J255" i="3" a="1"/>
  <c r="J21" i="3" a="1"/>
  <c r="H150" i="3" a="1"/>
  <c r="F52" i="3" a="1"/>
  <c r="J158" i="3" a="1"/>
  <c r="G243" i="3" a="1"/>
  <c r="H78" i="3" a="1"/>
  <c r="H134" i="3" a="1"/>
  <c r="J117" i="3" a="1"/>
  <c r="F72" i="3" a="1"/>
  <c r="G255" i="3" a="1"/>
  <c r="F248" i="3" a="1"/>
  <c r="F101" i="3" a="1"/>
  <c r="F115" i="3" a="1"/>
  <c r="J234" i="3" a="1"/>
  <c r="F91" i="3" a="1"/>
  <c r="G181" i="3" a="1"/>
  <c r="H73" i="3" a="1"/>
  <c r="H77" i="3" a="1"/>
  <c r="G126" i="3" a="1"/>
  <c r="H266" i="3" a="1"/>
  <c r="G216" i="3" a="1"/>
  <c r="F247" i="3" a="1"/>
  <c r="F59" i="3" a="1"/>
  <c r="H28" i="3" a="1"/>
  <c r="G145" i="3" a="1"/>
  <c r="F149" i="3" a="1"/>
  <c r="H25" i="3" a="1"/>
  <c r="G20" i="3" a="1"/>
  <c r="G221" i="3" a="1"/>
  <c r="G203" i="3" a="1"/>
  <c r="G8" i="3" a="1"/>
  <c r="F148" i="3" a="1"/>
  <c r="G14" i="3" a="1"/>
  <c r="F42" i="3" a="1"/>
  <c r="H177" i="3" a="1"/>
  <c r="H125" i="3" a="1"/>
  <c r="J98" i="3" a="1"/>
  <c r="F140" i="3" a="1"/>
  <c r="J13" i="3" a="1"/>
  <c r="F228" i="3" a="1"/>
  <c r="H9" i="3" a="1"/>
  <c r="H139" i="3" a="1"/>
  <c r="H143" i="3" a="1"/>
  <c r="G140" i="3" a="1"/>
  <c r="G125" i="3" a="1"/>
  <c r="G81" i="3" a="1"/>
  <c r="H23" i="3" a="1"/>
  <c r="G9" i="3" a="1"/>
  <c r="G15" i="3" a="1"/>
  <c r="H16" i="3" a="1"/>
  <c r="J188" i="3" a="1"/>
  <c r="G266" i="3" a="1"/>
  <c r="G136" i="3" a="1"/>
  <c r="J120" i="3" a="1"/>
  <c r="H162" i="3" a="1"/>
  <c r="F47" i="3" a="1"/>
  <c r="H31" i="3" a="1"/>
  <c r="F165" i="3" a="1"/>
  <c r="G74" i="3" a="1"/>
  <c r="J57" i="3" a="1"/>
  <c r="H35" i="3" a="1"/>
  <c r="J138" i="3" a="1"/>
  <c r="F12" i="3" a="1"/>
  <c r="H219" i="3" a="1"/>
  <c r="F51" i="3" a="1"/>
  <c r="J61" i="3" a="1"/>
  <c r="H138" i="3" a="1"/>
  <c r="H224" i="3" a="1"/>
  <c r="F93" i="3" a="1"/>
  <c r="H132" i="3" a="1"/>
  <c r="G30" i="3" a="1"/>
  <c r="F94" i="3" a="1"/>
  <c r="F54" i="3" a="1"/>
  <c r="J53" i="3" a="1"/>
  <c r="J173" i="3" a="1"/>
  <c r="J131" i="3" a="1"/>
  <c r="G69" i="3" a="1"/>
  <c r="H110" i="3" a="1"/>
  <c r="G268" i="3" a="1"/>
  <c r="G3" i="3" a="1"/>
  <c r="F26" i="3" a="1"/>
  <c r="G187" i="3" a="1"/>
  <c r="H3" i="3" a="1"/>
  <c r="F171" i="3" a="1"/>
  <c r="J77" i="3" a="1"/>
  <c r="J243" i="3" a="1"/>
  <c r="J143" i="3" a="1"/>
  <c r="G85" i="3" a="1"/>
  <c r="G156" i="3" a="1"/>
  <c r="J263" i="3" a="1"/>
  <c r="H124" i="3" a="1"/>
  <c r="J85" i="3" a="1"/>
  <c r="F169" i="3" a="1"/>
  <c r="F66" i="3" a="1"/>
  <c r="H15" i="3" a="1"/>
  <c r="F251" i="3" a="1"/>
  <c r="F234" i="3" a="1"/>
  <c r="F230" i="3" a="1"/>
  <c r="F34" i="3" a="1"/>
  <c r="H215" i="3" a="1"/>
  <c r="F125" i="3" a="1"/>
  <c r="G117" i="3" a="1"/>
  <c r="H191" i="3" a="1"/>
  <c r="G22" i="3" a="1"/>
  <c r="J154" i="3" a="1"/>
  <c r="J191" i="3" a="1"/>
  <c r="G106" i="3" a="1"/>
  <c r="J195" i="3" a="1"/>
  <c r="G210" i="3" a="1"/>
  <c r="G183" i="3" a="1"/>
  <c r="H109" i="3" a="1"/>
  <c r="J132" i="3" a="1"/>
  <c r="G66" i="3" a="1"/>
  <c r="F65" i="3" a="1"/>
  <c r="J218" i="3" a="1"/>
  <c r="J17" i="3" a="1"/>
  <c r="H56" i="3" a="1"/>
  <c r="J246" i="3" a="1"/>
  <c r="F143" i="3" a="1"/>
  <c r="H44" i="3" a="1"/>
  <c r="J48" i="3" a="1"/>
  <c r="F20" i="3" a="1"/>
  <c r="H64" i="3" a="1"/>
  <c r="G244" i="3" a="1"/>
  <c r="H188" i="3" a="1"/>
  <c r="J230" i="3" a="1"/>
  <c r="J145" i="3" a="1"/>
  <c r="H164" i="3" a="1"/>
  <c r="H80" i="3" a="1"/>
  <c r="H160" i="3" a="1"/>
  <c r="G67" i="3" a="1"/>
  <c r="F178" i="3" a="1"/>
  <c r="F38" i="3" a="1"/>
  <c r="J25" i="3" a="1"/>
  <c r="H7" i="3" a="1"/>
  <c r="F168" i="3" a="1"/>
  <c r="H239" i="3" a="1"/>
  <c r="H267" i="3" a="1"/>
  <c r="J236" i="3" a="1"/>
  <c r="G249" i="3" a="1"/>
  <c r="J28" i="3" a="1"/>
  <c r="F154" i="3" a="1"/>
  <c r="G50" i="3" a="1"/>
  <c r="J193" i="3" a="1"/>
  <c r="H263" i="3" a="1"/>
  <c r="H193" i="3" a="1"/>
  <c r="H232" i="3" a="1"/>
  <c r="F215" i="3" a="1"/>
  <c r="G182" i="3" a="1"/>
  <c r="J163" i="3" a="1"/>
  <c r="G219" i="3" a="1"/>
  <c r="F217" i="3" a="1"/>
  <c r="F99" i="3" a="1"/>
  <c r="G177" i="3" a="1"/>
  <c r="F28" i="3" a="1"/>
  <c r="F19" i="3" a="1"/>
  <c r="F124" i="3" a="1"/>
  <c r="G173" i="3" a="1"/>
  <c r="J225" i="3" a="1"/>
  <c r="J185" i="3" a="1"/>
  <c r="G178" i="3" a="1"/>
  <c r="H175" i="3" a="1"/>
  <c r="H105" i="3" a="1"/>
  <c r="F8" i="3" a="1"/>
  <c r="G196" i="3" a="1"/>
  <c r="F197" i="3" a="1"/>
  <c r="H238" i="3" a="1"/>
  <c r="F206" i="3" a="1"/>
  <c r="F64" i="3" a="1"/>
  <c r="J100" i="3" a="1"/>
  <c r="J106" i="3" a="1"/>
  <c r="F79" i="3" a="1"/>
  <c r="F130" i="3" a="1"/>
  <c r="H104" i="3" a="1"/>
  <c r="J69" i="3" a="1"/>
  <c r="J259" i="3" a="1"/>
  <c r="G34" i="3" a="1"/>
  <c r="H87" i="3" a="1"/>
  <c r="J19" i="3" a="1"/>
  <c r="F157" i="3" a="1"/>
  <c r="F223" i="3" a="1"/>
  <c r="F184" i="3" a="1"/>
  <c r="J221" i="3" a="1"/>
  <c r="G246" i="3" a="1"/>
  <c r="H50" i="3" a="1"/>
  <c r="F264" i="3" a="1"/>
  <c r="M355" i="3"/>
  <c r="M54" i="3"/>
  <c r="M127" i="3"/>
  <c r="M246" i="3"/>
  <c r="M19" i="3"/>
  <c r="M20" i="3"/>
  <c r="M35" i="3"/>
  <c r="M169" i="3"/>
  <c r="M221" i="3"/>
  <c r="M247" i="3"/>
  <c r="M118" i="3"/>
  <c r="M284" i="3"/>
  <c r="M17" i="3"/>
  <c r="M268" i="3"/>
  <c r="M336" i="3"/>
  <c r="M135" i="3"/>
  <c r="M316" i="3"/>
  <c r="M326" i="3"/>
  <c r="M324" i="3"/>
  <c r="M66" i="3"/>
  <c r="M384" i="3"/>
  <c r="M161" i="3"/>
  <c r="M38" i="3"/>
  <c r="M405" i="3"/>
  <c r="M47" i="3"/>
  <c r="M5" i="3"/>
  <c r="M295" i="3"/>
  <c r="M209" i="3"/>
  <c r="M385" i="3"/>
  <c r="M343" i="3"/>
  <c r="M50" i="3"/>
  <c r="M216" i="3"/>
  <c r="M162" i="3"/>
  <c r="M82" i="3"/>
  <c r="M176" i="3"/>
  <c r="M407" i="3"/>
  <c r="M16" i="3"/>
  <c r="M202" i="3"/>
  <c r="M372" i="3"/>
  <c r="M29" i="3"/>
  <c r="M331" i="3"/>
  <c r="M411" i="3"/>
  <c r="M278" i="3"/>
  <c r="M306" i="3"/>
  <c r="M394" i="3"/>
  <c r="M206" i="3"/>
  <c r="M27" i="3"/>
  <c r="M286" i="3"/>
  <c r="M26" i="3"/>
  <c r="M23" i="3"/>
  <c r="M144" i="3"/>
  <c r="M184" i="3"/>
  <c r="M388" i="3"/>
  <c r="M134" i="3"/>
  <c r="M229" i="3"/>
  <c r="M271" i="3"/>
  <c r="M338" i="3"/>
  <c r="M203" i="3"/>
  <c r="M89" i="3"/>
  <c r="M329" i="3"/>
  <c r="M139" i="3"/>
  <c r="M30" i="3"/>
  <c r="M363" i="3"/>
  <c r="M269" i="3"/>
  <c r="M197" i="3"/>
  <c r="M61" i="3"/>
  <c r="M78" i="3"/>
  <c r="M43" i="3"/>
  <c r="M158" i="3"/>
  <c r="M124" i="3"/>
  <c r="M80" i="3"/>
  <c r="M408" i="3"/>
  <c r="M381" i="3"/>
  <c r="M156" i="3"/>
  <c r="M87" i="3"/>
  <c r="M288" i="3"/>
  <c r="M98" i="3"/>
  <c r="M145" i="3"/>
  <c r="M194" i="3"/>
  <c r="M254" i="3"/>
  <c r="M307" i="3"/>
  <c r="M296" i="3"/>
  <c r="M193" i="3"/>
  <c r="M44" i="3"/>
  <c r="M352" i="3"/>
  <c r="M327" i="3"/>
  <c r="M240" i="3"/>
  <c r="M159" i="3"/>
  <c r="M404" i="3"/>
  <c r="M321" i="3"/>
  <c r="M132" i="3"/>
  <c r="M378" i="3"/>
  <c r="M234" i="3"/>
  <c r="M351" i="3"/>
  <c r="M68" i="3"/>
  <c r="M301" i="3"/>
  <c r="M224" i="3"/>
  <c r="M196" i="3"/>
  <c r="M320" i="3"/>
  <c r="M323" i="3"/>
  <c r="M8" i="3"/>
  <c r="M291" i="3"/>
  <c r="M143" i="3"/>
  <c r="M357" i="3"/>
  <c r="M242" i="3"/>
  <c r="M243" i="3"/>
  <c r="M185" i="3"/>
  <c r="M382" i="3"/>
  <c r="M312" i="3"/>
  <c r="M361" i="3"/>
  <c r="M217" i="3"/>
  <c r="M360" i="3"/>
  <c r="M106" i="3"/>
  <c r="M138" i="3"/>
  <c r="M272" i="3"/>
  <c r="M235" i="3"/>
  <c r="M412" i="3"/>
  <c r="M292" i="3"/>
  <c r="M395" i="3"/>
  <c r="M51" i="3"/>
  <c r="M123" i="3"/>
  <c r="M345" i="3"/>
  <c r="M319" i="3"/>
  <c r="M369" i="3"/>
  <c r="M303" i="3"/>
  <c r="M115" i="3"/>
  <c r="M250" i="3"/>
  <c r="M208" i="3"/>
  <c r="M165" i="3"/>
  <c r="M195" i="3"/>
  <c r="M14" i="3"/>
  <c r="M308" i="3"/>
  <c r="M375" i="3"/>
  <c r="M60" i="3"/>
  <c r="M238" i="3"/>
  <c r="M75" i="3"/>
  <c r="M328" i="3"/>
  <c r="M65" i="3"/>
  <c r="M257" i="3"/>
  <c r="M251" i="3"/>
  <c r="M367" i="3"/>
  <c r="M151" i="3"/>
  <c r="M180" i="3"/>
  <c r="M105" i="3"/>
  <c r="M339" i="3"/>
  <c r="M406" i="3"/>
  <c r="M350" i="3"/>
  <c r="M279" i="3"/>
  <c r="M109" i="3"/>
  <c r="M62" i="3"/>
  <c r="M386" i="3"/>
  <c r="M274" i="3"/>
  <c r="M149" i="3"/>
  <c r="M310" i="3"/>
  <c r="M212" i="3"/>
  <c r="M39" i="3"/>
  <c r="M148" i="3"/>
  <c r="M122" i="3"/>
  <c r="M94" i="3"/>
  <c r="M175" i="3"/>
  <c r="M187" i="3"/>
  <c r="M211" i="3"/>
  <c r="M261" i="3"/>
  <c r="M74" i="3"/>
  <c r="M189" i="3"/>
  <c r="M131" i="3"/>
  <c r="M349" i="3"/>
  <c r="M163" i="3"/>
  <c r="M192" i="3"/>
  <c r="M91" i="3"/>
  <c r="M128" i="3"/>
  <c r="M153" i="3"/>
  <c r="M399" i="3"/>
  <c r="M6" i="3"/>
  <c r="M86" i="3"/>
  <c r="M210" i="3"/>
  <c r="M104" i="3"/>
  <c r="M265" i="3"/>
  <c r="M199" i="3"/>
  <c r="M283" i="3"/>
  <c r="M133" i="3"/>
  <c r="M49" i="3"/>
  <c r="M315" i="3"/>
  <c r="M230" i="3"/>
  <c r="M311" i="3"/>
  <c r="M232" i="3"/>
  <c r="M300" i="3"/>
  <c r="M168" i="3"/>
  <c r="M95" i="3"/>
  <c r="M88" i="3"/>
  <c r="M287" i="3"/>
  <c r="M281" i="3"/>
  <c r="M341" i="3"/>
  <c r="M368" i="3"/>
  <c r="M383" i="3"/>
  <c r="M45" i="3"/>
  <c r="M366" i="3"/>
  <c r="M397" i="3"/>
  <c r="M53" i="3"/>
  <c r="M81" i="3"/>
  <c r="M239" i="3"/>
  <c r="M28" i="3"/>
  <c r="M263" i="3"/>
  <c r="M13" i="3"/>
  <c r="M309" i="3"/>
  <c r="M393" i="3"/>
  <c r="M188" i="3"/>
  <c r="M69" i="3"/>
  <c r="M294" i="3"/>
  <c r="M36" i="3"/>
  <c r="M273" i="3"/>
  <c r="M225" i="3"/>
  <c r="M32" i="3"/>
  <c r="M403" i="3"/>
  <c r="M201" i="3"/>
  <c r="M374" i="3"/>
  <c r="M33" i="3"/>
  <c r="M392" i="3"/>
  <c r="M282" i="3"/>
  <c r="M11" i="3"/>
  <c r="M190" i="3"/>
  <c r="M245" i="3"/>
  <c r="M167" i="3"/>
  <c r="M10" i="3"/>
  <c r="M333" i="3"/>
  <c r="M252" i="3"/>
  <c r="M130" i="3"/>
  <c r="M111" i="3"/>
  <c r="M340" i="3"/>
  <c r="M220" i="3"/>
  <c r="M275" i="3"/>
  <c r="M205" i="3"/>
  <c r="M83" i="3"/>
  <c r="M97" i="3"/>
  <c r="M264" i="3"/>
  <c r="M90" i="3"/>
  <c r="M297" i="3"/>
  <c r="M400" i="3"/>
  <c r="M48" i="3"/>
  <c r="M93" i="3"/>
  <c r="M41" i="3"/>
  <c r="M325" i="3"/>
  <c r="M302" i="3"/>
  <c r="M249" i="3"/>
  <c r="M348" i="3"/>
  <c r="M9" i="3"/>
  <c r="M46" i="3"/>
  <c r="M110" i="3"/>
  <c r="M21" i="3"/>
  <c r="M85" i="3"/>
  <c r="M146" i="3"/>
  <c r="M52" i="3"/>
  <c r="M414" i="3"/>
  <c r="M373" i="3"/>
  <c r="M136" i="3"/>
  <c r="M410" i="3"/>
  <c r="M334" i="3"/>
  <c r="M92" i="3"/>
  <c r="M305" i="3"/>
  <c r="M387" i="3"/>
  <c r="M214" i="3"/>
  <c r="M108" i="3"/>
  <c r="M304" i="3"/>
  <c r="M260" i="3"/>
  <c r="M258" i="3"/>
  <c r="M342" i="3"/>
  <c r="M332" i="3"/>
  <c r="M141" i="3"/>
  <c r="M173" i="3"/>
  <c r="M380" i="3"/>
  <c r="M267" i="3"/>
  <c r="M7" i="3"/>
  <c r="M22" i="3"/>
  <c r="M42" i="3"/>
  <c r="M396" i="3"/>
  <c r="M413" i="3"/>
  <c r="M244" i="3"/>
  <c r="M215" i="3"/>
  <c r="M24" i="3"/>
  <c r="M171" i="3"/>
  <c r="M248" i="3"/>
  <c r="M391" i="3"/>
  <c r="M227" i="3"/>
  <c r="M150" i="3"/>
  <c r="M276" i="3"/>
  <c r="M116" i="3"/>
  <c r="M174" i="3"/>
  <c r="M18" i="3"/>
  <c r="M64" i="3"/>
  <c r="M277" i="3"/>
  <c r="M56" i="3"/>
  <c r="M67" i="3"/>
  <c r="M73" i="3"/>
  <c r="M290" i="3"/>
  <c r="M228" i="3"/>
  <c r="M298" i="3"/>
  <c r="M152" i="3"/>
  <c r="M318" i="3"/>
  <c r="M12" i="3"/>
  <c r="M164" i="3"/>
  <c r="M103" i="3"/>
  <c r="M330" i="3"/>
  <c r="M255" i="3"/>
  <c r="M182" i="3"/>
  <c r="M181" i="3"/>
  <c r="M102" i="3"/>
  <c r="M63" i="3"/>
  <c r="M317" i="3"/>
  <c r="M365" i="3"/>
  <c r="M99" i="3"/>
  <c r="M59" i="3"/>
  <c r="M231" i="3"/>
  <c r="M170" i="3"/>
  <c r="M370" i="3"/>
  <c r="M114" i="3"/>
  <c r="M25" i="3"/>
  <c r="M107" i="3"/>
  <c r="M155" i="3"/>
  <c r="M256" i="3"/>
  <c r="M223" i="3"/>
  <c r="M236" i="3"/>
  <c r="M285" i="3"/>
  <c r="M120" i="3"/>
  <c r="M147" i="3"/>
  <c r="M34" i="3"/>
  <c r="M266" i="3"/>
  <c r="M142" i="3"/>
  <c r="M389" i="3"/>
  <c r="M76" i="3"/>
  <c r="M126" i="3"/>
  <c r="M293" i="3"/>
  <c r="M259" i="3"/>
  <c r="M96" i="3"/>
  <c r="M347" i="3"/>
  <c r="M72" i="3"/>
  <c r="M359" i="3"/>
  <c r="M371" i="3"/>
  <c r="M299" i="3"/>
  <c r="M222" i="3"/>
  <c r="M364" i="3"/>
  <c r="M270" i="3"/>
  <c r="M354" i="3"/>
  <c r="M178" i="3"/>
  <c r="M379" i="3"/>
  <c r="M233" i="3"/>
  <c r="M344" i="3"/>
  <c r="M409" i="3"/>
  <c r="M237" i="3"/>
  <c r="M121" i="3"/>
  <c r="M322" i="3"/>
  <c r="M213" i="3"/>
  <c r="M219" i="3"/>
  <c r="M15" i="3"/>
  <c r="M129" i="3"/>
  <c r="M166" i="3"/>
  <c r="M100" i="3"/>
  <c r="M84" i="3"/>
  <c r="M55" i="3"/>
  <c r="M398" i="3"/>
  <c r="M57" i="3"/>
  <c r="M77" i="3"/>
  <c r="M172" i="3"/>
  <c r="M204" i="3"/>
  <c r="M191" i="3"/>
  <c r="M160" i="3"/>
  <c r="M390" i="3"/>
  <c r="M137" i="3"/>
  <c r="M40" i="3"/>
  <c r="M356" i="3"/>
  <c r="M179" i="3"/>
  <c r="M337" i="3"/>
  <c r="M119" i="3"/>
  <c r="M218" i="3"/>
  <c r="M113" i="3"/>
  <c r="M183" i="3"/>
  <c r="M70" i="3"/>
  <c r="M226" i="3"/>
  <c r="M177" i="3"/>
  <c r="M241" i="3"/>
  <c r="M262" i="3"/>
  <c r="M358" i="3"/>
  <c r="M186" i="3"/>
  <c r="M346" i="3"/>
  <c r="M376" i="3"/>
  <c r="M353" i="3"/>
  <c r="M401" i="3"/>
  <c r="M289" i="3"/>
  <c r="M4" i="3"/>
  <c r="M253" i="3"/>
  <c r="M71" i="3"/>
  <c r="M101" i="3"/>
  <c r="M313" i="3"/>
  <c r="M402" i="3"/>
  <c r="M3" i="3"/>
  <c r="M198" i="3"/>
  <c r="M79" i="3"/>
  <c r="M112" i="3"/>
  <c r="M335" i="3"/>
  <c r="M154" i="3"/>
  <c r="M280" i="3"/>
  <c r="M207" i="3"/>
  <c r="M200" i="3"/>
  <c r="M58" i="3"/>
  <c r="M31" i="3"/>
  <c r="M140" i="3"/>
  <c r="M125" i="3"/>
  <c r="M362" i="3"/>
  <c r="M157" i="3"/>
  <c r="M37" i="3"/>
  <c r="M314" i="3"/>
  <c r="M117" i="3"/>
  <c r="M377" i="3"/>
  <c r="G59" i="3" l="1"/>
  <c r="G180" i="3"/>
  <c r="H191" i="3"/>
  <c r="J259" i="3"/>
  <c r="F19" i="3"/>
  <c r="J272" i="3"/>
  <c r="G216" i="3"/>
  <c r="H30" i="3"/>
  <c r="H60" i="3"/>
  <c r="F269" i="3"/>
  <c r="G187" i="3"/>
  <c r="G268" i="3"/>
  <c r="G130" i="3"/>
  <c r="G105" i="3"/>
  <c r="J255" i="3"/>
  <c r="H71" i="3"/>
  <c r="F28" i="3"/>
  <c r="H110" i="3"/>
  <c r="H266" i="3"/>
  <c r="G111" i="3"/>
  <c r="G68" i="3"/>
  <c r="J69" i="3"/>
  <c r="F26" i="3"/>
  <c r="G69" i="3"/>
  <c r="F191" i="3"/>
  <c r="F220" i="3"/>
  <c r="H99" i="3"/>
  <c r="F59" i="3"/>
  <c r="G177" i="3"/>
  <c r="J131" i="3"/>
  <c r="G126" i="3"/>
  <c r="H235" i="3"/>
  <c r="G260" i="3"/>
  <c r="F264" i="3"/>
  <c r="J291" i="3"/>
  <c r="Q291" i="3" s="1" a="1"/>
  <c r="Q291" i="3" s="1"/>
  <c r="H309" i="3"/>
  <c r="G83" i="3"/>
  <c r="H10" i="3"/>
  <c r="F17" i="3"/>
  <c r="H272" i="3"/>
  <c r="F99" i="3"/>
  <c r="J173" i="3"/>
  <c r="H77" i="3"/>
  <c r="H203" i="3"/>
  <c r="G49" i="3"/>
  <c r="F193" i="3"/>
  <c r="F217" i="3"/>
  <c r="J53" i="3"/>
  <c r="F73" i="3"/>
  <c r="H91" i="3"/>
  <c r="G32" i="3"/>
  <c r="H104" i="3"/>
  <c r="G219" i="3"/>
  <c r="F54" i="3"/>
  <c r="H73" i="3"/>
  <c r="H54" i="3"/>
  <c r="H165" i="3"/>
  <c r="F247" i="3"/>
  <c r="J163" i="3"/>
  <c r="F94" i="3"/>
  <c r="F117" i="3"/>
  <c r="G7" i="3"/>
  <c r="H58" i="3"/>
  <c r="G117" i="3"/>
  <c r="G182" i="3"/>
  <c r="G30" i="3"/>
  <c r="G181" i="3"/>
  <c r="F260" i="3"/>
  <c r="G131" i="3"/>
  <c r="H50" i="3"/>
  <c r="F215" i="3"/>
  <c r="H132" i="3"/>
  <c r="H275" i="3"/>
  <c r="J30" i="3"/>
  <c r="J233" i="3"/>
  <c r="J93" i="3"/>
  <c r="H232" i="3"/>
  <c r="F93" i="3"/>
  <c r="H211" i="3"/>
  <c r="H43" i="3"/>
  <c r="G12" i="3"/>
  <c r="F130" i="3"/>
  <c r="H193" i="3"/>
  <c r="H224" i="3"/>
  <c r="F91" i="3"/>
  <c r="G172" i="3"/>
  <c r="H268" i="3"/>
  <c r="F125" i="3"/>
  <c r="H263" i="3"/>
  <c r="H138" i="3"/>
  <c r="G273" i="3"/>
  <c r="H197" i="3"/>
  <c r="H113" i="3"/>
  <c r="G246" i="3"/>
  <c r="J193" i="3"/>
  <c r="J61" i="3"/>
  <c r="J234" i="3"/>
  <c r="J124" i="3"/>
  <c r="F9" i="3"/>
  <c r="F79" i="3"/>
  <c r="G50" i="3"/>
  <c r="F51" i="3"/>
  <c r="H158" i="3"/>
  <c r="F108" i="3"/>
  <c r="H145" i="3"/>
  <c r="G269" i="3"/>
  <c r="F154" i="3"/>
  <c r="H219" i="3"/>
  <c r="F115" i="3"/>
  <c r="G252" i="3"/>
  <c r="H76" i="3"/>
  <c r="J221" i="3"/>
  <c r="J28" i="3"/>
  <c r="F12" i="3"/>
  <c r="G184" i="3"/>
  <c r="H8" i="3"/>
  <c r="G200" i="3"/>
  <c r="H284" i="3"/>
  <c r="G249" i="3"/>
  <c r="J138" i="3"/>
  <c r="F5" i="3"/>
  <c r="H41" i="3"/>
  <c r="F62" i="3"/>
  <c r="H215" i="3"/>
  <c r="J236" i="3"/>
  <c r="H35" i="3"/>
  <c r="F101" i="3"/>
  <c r="J198" i="3"/>
  <c r="H57" i="3"/>
  <c r="F34" i="3"/>
  <c r="H267" i="3"/>
  <c r="J57" i="3"/>
  <c r="T57" i="3" s="1" a="1"/>
  <c r="G114" i="3"/>
  <c r="J50" i="3"/>
  <c r="J295" i="3"/>
  <c r="G312" i="3"/>
  <c r="J311" i="3"/>
  <c r="H294" i="3"/>
  <c r="F248" i="3"/>
  <c r="F188" i="3"/>
  <c r="H66" i="3"/>
  <c r="F184" i="3"/>
  <c r="H239" i="3"/>
  <c r="G74" i="3"/>
  <c r="F160" i="3"/>
  <c r="G171" i="3"/>
  <c r="H148" i="3"/>
  <c r="F230" i="3"/>
  <c r="F168" i="3"/>
  <c r="F165" i="3"/>
  <c r="G255" i="3"/>
  <c r="G189" i="3"/>
  <c r="J29" i="3"/>
  <c r="J106" i="3"/>
  <c r="H7" i="3"/>
  <c r="H31" i="3"/>
  <c r="G137" i="3"/>
  <c r="H152" i="3"/>
  <c r="F244" i="3"/>
  <c r="F234" i="3"/>
  <c r="J25" i="3"/>
  <c r="F47" i="3"/>
  <c r="F72" i="3"/>
  <c r="F118" i="3"/>
  <c r="F252" i="3"/>
  <c r="J100" i="3"/>
  <c r="F38" i="3"/>
  <c r="H162" i="3"/>
  <c r="J117" i="3"/>
  <c r="G231" i="3"/>
  <c r="F249" i="3"/>
  <c r="F223" i="3"/>
  <c r="F178" i="3"/>
  <c r="J120" i="3"/>
  <c r="J303" i="3"/>
  <c r="H89" i="3"/>
  <c r="G28" i="3"/>
  <c r="F251" i="3"/>
  <c r="G67" i="3"/>
  <c r="G136" i="3"/>
  <c r="H173" i="3"/>
  <c r="F11" i="3"/>
  <c r="F242" i="3"/>
  <c r="F64" i="3"/>
  <c r="H160" i="3"/>
  <c r="G266" i="3"/>
  <c r="H134" i="3"/>
  <c r="J146" i="3"/>
  <c r="F136" i="3"/>
  <c r="H15" i="3"/>
  <c r="H80" i="3"/>
  <c r="J188" i="3"/>
  <c r="H39" i="3"/>
  <c r="H52" i="3"/>
  <c r="H34" i="3"/>
  <c r="F206" i="3"/>
  <c r="H273" i="3"/>
  <c r="H16" i="3"/>
  <c r="H78" i="3"/>
  <c r="F88" i="3"/>
  <c r="G64" i="3"/>
  <c r="F66" i="3"/>
  <c r="H164" i="3"/>
  <c r="G15" i="3"/>
  <c r="F30" i="3"/>
  <c r="G46" i="3"/>
  <c r="G25" i="3"/>
  <c r="H238" i="3"/>
  <c r="J145" i="3"/>
  <c r="G9" i="3"/>
  <c r="F150" i="3"/>
  <c r="F27" i="3"/>
  <c r="F179" i="3"/>
  <c r="F169" i="3"/>
  <c r="J230" i="3"/>
  <c r="H23" i="3"/>
  <c r="G243" i="3"/>
  <c r="H33" i="3"/>
  <c r="G51" i="3"/>
  <c r="F157" i="3"/>
  <c r="H188" i="3"/>
  <c r="G81" i="3"/>
  <c r="F162" i="3"/>
  <c r="F85" i="3"/>
  <c r="H184" i="3"/>
  <c r="F197" i="3"/>
  <c r="G244" i="3"/>
  <c r="G125" i="3"/>
  <c r="J158" i="3"/>
  <c r="J213" i="3"/>
  <c r="J80" i="3"/>
  <c r="J85" i="3"/>
  <c r="H64" i="3"/>
  <c r="G140" i="3"/>
  <c r="F122" i="3"/>
  <c r="G88" i="3"/>
  <c r="G176" i="3"/>
  <c r="G196" i="3"/>
  <c r="F20" i="3"/>
  <c r="H143" i="3"/>
  <c r="H119" i="3"/>
  <c r="H190" i="3"/>
  <c r="H38" i="3"/>
  <c r="H124" i="3"/>
  <c r="F276" i="3"/>
  <c r="H139" i="3"/>
  <c r="F52" i="3"/>
  <c r="G223" i="3"/>
  <c r="F134" i="3"/>
  <c r="F277" i="3"/>
  <c r="J48" i="3"/>
  <c r="J269" i="3"/>
  <c r="J111" i="3"/>
  <c r="G132" i="3"/>
  <c r="F45" i="3"/>
  <c r="F8" i="3"/>
  <c r="H44" i="3"/>
  <c r="H9" i="3"/>
  <c r="F233" i="3"/>
  <c r="G99" i="3"/>
  <c r="H198" i="3"/>
  <c r="G274" i="3"/>
  <c r="F143" i="3"/>
  <c r="F273" i="3"/>
  <c r="H156" i="3"/>
  <c r="F100" i="3"/>
  <c r="G188" i="3"/>
  <c r="J263" i="3"/>
  <c r="J246" i="3"/>
  <c r="F228" i="3"/>
  <c r="F209" i="3"/>
  <c r="G29" i="3"/>
  <c r="G213" i="3"/>
  <c r="H105" i="3"/>
  <c r="H56" i="3"/>
  <c r="J13" i="3"/>
  <c r="G75" i="3"/>
  <c r="F113" i="3"/>
  <c r="H85" i="3"/>
  <c r="G156" i="3"/>
  <c r="J17" i="3"/>
  <c r="F140" i="3"/>
  <c r="H150" i="3"/>
  <c r="J10" i="3"/>
  <c r="H172" i="3"/>
  <c r="H175" i="3"/>
  <c r="J218" i="3"/>
  <c r="J98" i="3"/>
  <c r="G160" i="3"/>
  <c r="J31" i="3"/>
  <c r="F285" i="3"/>
  <c r="F315" i="3"/>
  <c r="H315" i="3"/>
  <c r="G318" i="3"/>
  <c r="G185" i="3"/>
  <c r="H230" i="3"/>
  <c r="F82" i="3"/>
  <c r="G85" i="3"/>
  <c r="G282" i="3"/>
  <c r="H125" i="3"/>
  <c r="H12" i="3"/>
  <c r="G257" i="3"/>
  <c r="H46" i="3"/>
  <c r="G178" i="3"/>
  <c r="F65" i="3"/>
  <c r="H177" i="3"/>
  <c r="H189" i="3"/>
  <c r="G270" i="3"/>
  <c r="G275" i="3"/>
  <c r="J143" i="3"/>
  <c r="G66" i="3"/>
  <c r="F42" i="3"/>
  <c r="H106" i="3"/>
  <c r="G211" i="3"/>
  <c r="H154" i="3"/>
  <c r="J185" i="3"/>
  <c r="J132" i="3"/>
  <c r="G14" i="3"/>
  <c r="G36" i="3"/>
  <c r="F224" i="3"/>
  <c r="F102" i="3"/>
  <c r="J243" i="3"/>
  <c r="H109" i="3"/>
  <c r="F148" i="3"/>
  <c r="H37" i="3"/>
  <c r="J4" i="3"/>
  <c r="J84" i="3"/>
  <c r="J225" i="3"/>
  <c r="J306" i="3"/>
  <c r="G8" i="3"/>
  <c r="H225" i="3"/>
  <c r="F80" i="3"/>
  <c r="F177" i="3"/>
  <c r="J19" i="3"/>
  <c r="G183" i="3"/>
  <c r="G203" i="3"/>
  <c r="G35" i="3"/>
  <c r="G24" i="3"/>
  <c r="F195" i="3"/>
  <c r="J77" i="3"/>
  <c r="G210" i="3"/>
  <c r="G221" i="3"/>
  <c r="J21" i="3"/>
  <c r="G256" i="3"/>
  <c r="F246" i="3"/>
  <c r="G173" i="3"/>
  <c r="J195" i="3"/>
  <c r="G20" i="3"/>
  <c r="G52" i="3"/>
  <c r="H14" i="3"/>
  <c r="H108" i="3"/>
  <c r="F171" i="3"/>
  <c r="F15" i="3"/>
  <c r="G239" i="3"/>
  <c r="G106" i="3"/>
  <c r="H262" i="3"/>
  <c r="F39" i="3"/>
  <c r="H220" i="3"/>
  <c r="F36" i="3"/>
  <c r="H130" i="3"/>
  <c r="H25" i="3"/>
  <c r="H128" i="3"/>
  <c r="G129" i="3"/>
  <c r="J258" i="3"/>
  <c r="H131" i="3"/>
  <c r="G278" i="3"/>
  <c r="H129" i="3"/>
  <c r="F127" i="3"/>
  <c r="H255" i="3"/>
  <c r="J11" i="3"/>
  <c r="G43" i="3"/>
  <c r="F18" i="3"/>
  <c r="G11" i="3"/>
  <c r="H93" i="3"/>
  <c r="H144" i="3"/>
  <c r="F237" i="3"/>
  <c r="G121" i="3"/>
  <c r="F231" i="3"/>
  <c r="H87" i="3"/>
  <c r="F202" i="3"/>
  <c r="H201" i="3"/>
  <c r="G65" i="3"/>
  <c r="H178" i="3"/>
  <c r="J9" i="3"/>
  <c r="U9" i="3" s="1" a="1"/>
  <c r="J191" i="3"/>
  <c r="J72" i="3"/>
  <c r="J43" i="3"/>
  <c r="F41" i="3"/>
  <c r="G201" i="3"/>
  <c r="F13" i="3"/>
  <c r="F149" i="3"/>
  <c r="H17" i="3"/>
  <c r="F253" i="3"/>
  <c r="F35" i="3"/>
  <c r="F70" i="3"/>
  <c r="G165" i="3"/>
  <c r="F190" i="3"/>
  <c r="H72" i="3"/>
  <c r="G170" i="3"/>
  <c r="G27" i="3"/>
  <c r="F186" i="3"/>
  <c r="H114" i="3"/>
  <c r="H252" i="3"/>
  <c r="H133" i="3"/>
  <c r="J23" i="3"/>
  <c r="J249" i="3"/>
  <c r="J134" i="3"/>
  <c r="J103" i="3"/>
  <c r="G23" i="3"/>
  <c r="F98" i="3"/>
  <c r="G158" i="3"/>
  <c r="F131" i="3"/>
  <c r="H55" i="3"/>
  <c r="F25" i="3"/>
  <c r="F124" i="3"/>
  <c r="F192" i="3"/>
  <c r="F40" i="3"/>
  <c r="F126" i="3"/>
  <c r="G276" i="3"/>
  <c r="F141" i="3"/>
  <c r="G145" i="3"/>
  <c r="F207" i="3"/>
  <c r="J125" i="3"/>
  <c r="J74" i="3"/>
  <c r="G217" i="3"/>
  <c r="H264" i="3"/>
  <c r="G33" i="3"/>
  <c r="G48" i="3"/>
  <c r="G149" i="3"/>
  <c r="H168" i="3"/>
  <c r="J22" i="3"/>
  <c r="F175" i="3"/>
  <c r="G147" i="3"/>
  <c r="G152" i="3"/>
  <c r="H83" i="3"/>
  <c r="G214" i="3"/>
  <c r="G236" i="3"/>
  <c r="F219" i="3"/>
  <c r="J118" i="3"/>
  <c r="F187" i="3"/>
  <c r="G263" i="3"/>
  <c r="J223" i="3"/>
  <c r="J284" i="3"/>
  <c r="H226" i="3"/>
  <c r="J154" i="3"/>
  <c r="F290" i="3"/>
  <c r="G288" i="3"/>
  <c r="H319" i="3"/>
  <c r="F309" i="3"/>
  <c r="H86" i="3"/>
  <c r="G34" i="3"/>
  <c r="G101" i="3"/>
  <c r="F22" i="3"/>
  <c r="F161" i="3"/>
  <c r="G26" i="3"/>
  <c r="G94" i="3"/>
  <c r="G22" i="3"/>
  <c r="F67" i="3"/>
  <c r="F10" i="3"/>
  <c r="G141" i="3"/>
  <c r="G197" i="3"/>
  <c r="J83" i="3"/>
  <c r="H28" i="3"/>
  <c r="G150" i="3"/>
  <c r="F3" i="3"/>
  <c r="H122" i="3"/>
  <c r="H192" i="3"/>
  <c r="J153" i="3"/>
  <c r="G21" i="3"/>
  <c r="F227" i="3"/>
  <c r="F75" i="3"/>
  <c r="F90" i="3"/>
  <c r="F218" i="3"/>
  <c r="J256" i="3"/>
  <c r="F16" i="3"/>
  <c r="F14" i="3"/>
  <c r="G261" i="3"/>
  <c r="H163" i="3"/>
  <c r="F201" i="3"/>
  <c r="J237" i="3"/>
  <c r="H4" i="3"/>
  <c r="F226" i="3"/>
  <c r="G47" i="3"/>
  <c r="G190" i="3"/>
  <c r="G232" i="3"/>
  <c r="F235" i="3"/>
  <c r="G95" i="3"/>
  <c r="G212" i="3"/>
  <c r="H82" i="3"/>
  <c r="G225" i="3"/>
  <c r="H135" i="3"/>
  <c r="F83" i="3"/>
  <c r="H194" i="3"/>
  <c r="J171" i="3"/>
  <c r="J211" i="3"/>
  <c r="J64" i="3"/>
  <c r="J252" i="3"/>
  <c r="G175" i="3"/>
  <c r="H246" i="3"/>
  <c r="G31" i="3"/>
  <c r="F267" i="3"/>
  <c r="H51" i="3"/>
  <c r="G44" i="3"/>
  <c r="H19" i="3"/>
  <c r="F95" i="3"/>
  <c r="F146" i="3"/>
  <c r="H253" i="3"/>
  <c r="G135" i="3"/>
  <c r="H204" i="3"/>
  <c r="F89" i="3"/>
  <c r="F240" i="3"/>
  <c r="H98" i="3"/>
  <c r="H29" i="3"/>
  <c r="F180" i="3"/>
  <c r="J27" i="3"/>
  <c r="J227" i="3"/>
  <c r="J90" i="3"/>
  <c r="J46" i="3"/>
  <c r="H6" i="3"/>
  <c r="F225" i="3"/>
  <c r="H5" i="3"/>
  <c r="F32" i="3"/>
  <c r="G40" i="3"/>
  <c r="G90" i="3"/>
  <c r="F200" i="3"/>
  <c r="G198" i="3"/>
  <c r="H90" i="3"/>
  <c r="G179" i="3"/>
  <c r="G45" i="3"/>
  <c r="G224" i="3"/>
  <c r="F156" i="3"/>
  <c r="G237" i="3"/>
  <c r="J87" i="3"/>
  <c r="J150" i="3"/>
  <c r="F266" i="3"/>
  <c r="G60" i="3"/>
  <c r="H111" i="3"/>
  <c r="H67" i="3"/>
  <c r="H233" i="3"/>
  <c r="H217" i="3"/>
  <c r="J200" i="3"/>
  <c r="H92" i="3"/>
  <c r="F164" i="3"/>
  <c r="G195" i="3"/>
  <c r="F213" i="3"/>
  <c r="F74" i="3"/>
  <c r="F68" i="3"/>
  <c r="F272" i="3"/>
  <c r="J147" i="3"/>
  <c r="H279" i="3"/>
  <c r="G73" i="3"/>
  <c r="J264" i="3"/>
  <c r="G76" i="3"/>
  <c r="J3" i="3"/>
  <c r="J206" i="3"/>
  <c r="R206" i="3" s="1" a="1"/>
  <c r="R206" i="3" s="1"/>
  <c r="F287" i="3"/>
  <c r="H286" i="3"/>
  <c r="G304" i="3"/>
  <c r="J285" i="3"/>
  <c r="F114" i="3"/>
  <c r="F23" i="3"/>
  <c r="F139" i="3"/>
  <c r="H27" i="3"/>
  <c r="H171" i="3"/>
  <c r="G37" i="3"/>
  <c r="H62" i="3"/>
  <c r="F112" i="3"/>
  <c r="F43" i="3"/>
  <c r="G57" i="3"/>
  <c r="G6" i="3"/>
  <c r="J214" i="3"/>
  <c r="H61" i="3"/>
  <c r="F29" i="3"/>
  <c r="G139" i="3"/>
  <c r="F205" i="3"/>
  <c r="H42" i="3"/>
  <c r="H68" i="3"/>
  <c r="H155" i="3"/>
  <c r="F259" i="3"/>
  <c r="H237" i="3"/>
  <c r="G157" i="3"/>
  <c r="H69" i="3"/>
  <c r="H24" i="3"/>
  <c r="G72" i="3"/>
  <c r="J172" i="3"/>
  <c r="F167" i="3"/>
  <c r="G122" i="3"/>
  <c r="G10" i="3"/>
  <c r="H20" i="3"/>
  <c r="F87" i="3"/>
  <c r="J140" i="3"/>
  <c r="F111" i="3"/>
  <c r="G16" i="3"/>
  <c r="H251" i="3"/>
  <c r="H127" i="3"/>
  <c r="F172" i="3"/>
  <c r="J42" i="3"/>
  <c r="F204" i="3"/>
  <c r="H166" i="3"/>
  <c r="F33" i="3"/>
  <c r="F263" i="3"/>
  <c r="H112" i="3"/>
  <c r="F56" i="3"/>
  <c r="H40" i="3"/>
  <c r="H13" i="3"/>
  <c r="G120" i="3"/>
  <c r="G98" i="3"/>
  <c r="F129" i="3"/>
  <c r="G258" i="3"/>
  <c r="G144" i="3"/>
  <c r="F261" i="3"/>
  <c r="F103" i="3"/>
  <c r="H242" i="3"/>
  <c r="G146" i="3"/>
  <c r="F142" i="3"/>
  <c r="F241" i="3"/>
  <c r="J274" i="3"/>
  <c r="J51" i="3"/>
  <c r="J275" i="3"/>
  <c r="J114" i="3"/>
  <c r="G38" i="3"/>
  <c r="G18" i="3"/>
  <c r="G84" i="3"/>
  <c r="F274" i="3"/>
  <c r="F6" i="3"/>
  <c r="G62" i="3"/>
  <c r="H26" i="3"/>
  <c r="H70" i="3"/>
  <c r="G174" i="3"/>
  <c r="H265" i="3"/>
  <c r="H103" i="3"/>
  <c r="H244" i="3"/>
  <c r="F84" i="3"/>
  <c r="G240" i="3"/>
  <c r="F137" i="3"/>
  <c r="G91" i="3"/>
  <c r="F196" i="3"/>
  <c r="J207" i="3"/>
  <c r="J71" i="3"/>
  <c r="J82" i="3"/>
  <c r="J32" i="3"/>
  <c r="H36" i="3"/>
  <c r="G245" i="3"/>
  <c r="F53" i="3"/>
  <c r="G78" i="3"/>
  <c r="F21" i="3"/>
  <c r="G103" i="3"/>
  <c r="G154" i="3"/>
  <c r="F258" i="3"/>
  <c r="H208" i="3"/>
  <c r="F211" i="3"/>
  <c r="G97" i="3"/>
  <c r="F222" i="3"/>
  <c r="F31" i="3"/>
  <c r="J45" i="3"/>
  <c r="J108" i="3"/>
  <c r="G124" i="3"/>
  <c r="G41" i="3"/>
  <c r="H174" i="3"/>
  <c r="F182" i="3"/>
  <c r="G134" i="3"/>
  <c r="H84" i="3"/>
  <c r="J181" i="3"/>
  <c r="J242" i="3"/>
  <c r="H21" i="3"/>
  <c r="G215" i="3"/>
  <c r="F281" i="3"/>
  <c r="J135" i="3"/>
  <c r="G133" i="3"/>
  <c r="H153" i="3"/>
  <c r="J279" i="3"/>
  <c r="J128" i="3"/>
  <c r="U128" i="3" s="1" a="1"/>
  <c r="G159" i="3"/>
  <c r="F185" i="3"/>
  <c r="J161" i="3"/>
  <c r="U161" i="3" s="1" a="1"/>
  <c r="U161" i="3" s="1"/>
  <c r="G163" i="3"/>
  <c r="J91" i="3"/>
  <c r="J187" i="3"/>
  <c r="J290" i="3"/>
  <c r="F302" i="3"/>
  <c r="F296" i="3"/>
  <c r="F311" i="3"/>
  <c r="H281" i="3"/>
  <c r="F199" i="3"/>
  <c r="G116" i="3"/>
  <c r="H254" i="3"/>
  <c r="J62" i="3"/>
  <c r="J79" i="3"/>
  <c r="J26" i="3"/>
  <c r="J142" i="3"/>
  <c r="F48" i="3"/>
  <c r="G61" i="3"/>
  <c r="F57" i="3"/>
  <c r="F58" i="3"/>
  <c r="H22" i="3"/>
  <c r="F60" i="3"/>
  <c r="F46" i="3"/>
  <c r="G80" i="3"/>
  <c r="G202" i="3"/>
  <c r="G234" i="3"/>
  <c r="G138" i="3"/>
  <c r="G228" i="3"/>
  <c r="G110" i="3"/>
  <c r="F282" i="3"/>
  <c r="F174" i="3"/>
  <c r="H116" i="3"/>
  <c r="H271" i="3"/>
  <c r="J109" i="3"/>
  <c r="J101" i="3"/>
  <c r="J184" i="3"/>
  <c r="J6" i="3"/>
  <c r="F24" i="3"/>
  <c r="F44" i="3"/>
  <c r="H74" i="3"/>
  <c r="H88" i="3"/>
  <c r="H234" i="3"/>
  <c r="H236" i="3"/>
  <c r="G96" i="3"/>
  <c r="F236" i="3"/>
  <c r="H121" i="3"/>
  <c r="H216" i="3"/>
  <c r="G207" i="3"/>
  <c r="F121" i="3"/>
  <c r="G242" i="3"/>
  <c r="J127" i="3"/>
  <c r="J155" i="3"/>
  <c r="J220" i="3"/>
  <c r="J24" i="3"/>
  <c r="H248" i="3"/>
  <c r="F110" i="3"/>
  <c r="G169" i="3"/>
  <c r="H241" i="3"/>
  <c r="F71" i="3"/>
  <c r="H195" i="3"/>
  <c r="G226" i="3"/>
  <c r="H102" i="3"/>
  <c r="G128" i="3"/>
  <c r="G267" i="3"/>
  <c r="G206" i="3"/>
  <c r="G199" i="3"/>
  <c r="H227" i="3"/>
  <c r="J253" i="3"/>
  <c r="J166" i="3"/>
  <c r="J224" i="3"/>
  <c r="J241" i="3"/>
  <c r="J5" i="3"/>
  <c r="J167" i="3"/>
  <c r="T167" i="3" s="1" a="1"/>
  <c r="J231" i="3"/>
  <c r="J60" i="3"/>
  <c r="H222" i="3"/>
  <c r="G82" i="3"/>
  <c r="H141" i="3"/>
  <c r="H218" i="3"/>
  <c r="F37" i="3"/>
  <c r="G148" i="3"/>
  <c r="H247" i="3"/>
  <c r="G115" i="3"/>
  <c r="F155" i="3"/>
  <c r="H259" i="3"/>
  <c r="G109" i="3"/>
  <c r="F152" i="3"/>
  <c r="G230" i="3"/>
  <c r="G280" i="3"/>
  <c r="J73" i="3"/>
  <c r="J102" i="3"/>
  <c r="O102" i="3" s="1" a="1"/>
  <c r="J14" i="3"/>
  <c r="J149" i="3"/>
  <c r="J136" i="3"/>
  <c r="J170" i="3"/>
  <c r="J204" i="3"/>
  <c r="F232" i="3"/>
  <c r="G112" i="3"/>
  <c r="F138" i="3"/>
  <c r="H277" i="3"/>
  <c r="H137" i="3"/>
  <c r="H183" i="3"/>
  <c r="G238" i="3"/>
  <c r="J16" i="3"/>
  <c r="J238" i="3"/>
  <c r="J177" i="3"/>
  <c r="J33" i="3"/>
  <c r="J229" i="3"/>
  <c r="K229" i="3" s="1" a="1"/>
  <c r="K229" i="3" s="1"/>
  <c r="J239" i="3"/>
  <c r="L239" i="3" s="1" a="1"/>
  <c r="L239" i="3" s="1"/>
  <c r="J67" i="3"/>
  <c r="J96" i="3"/>
  <c r="H303" i="3"/>
  <c r="H307" i="3"/>
  <c r="G285" i="3"/>
  <c r="G290" i="3"/>
  <c r="H291" i="3"/>
  <c r="J320" i="3"/>
  <c r="F289" i="3"/>
  <c r="J297" i="3"/>
  <c r="J305" i="3"/>
  <c r="H296" i="3"/>
  <c r="H289" i="3"/>
  <c r="F299" i="3"/>
  <c r="G301" i="3"/>
  <c r="G303" i="3"/>
  <c r="G289" i="3"/>
  <c r="H290" i="3"/>
  <c r="G316" i="3"/>
  <c r="F307" i="3"/>
  <c r="F295" i="3"/>
  <c r="J301" i="3"/>
  <c r="J315" i="3"/>
  <c r="J287" i="3"/>
  <c r="H295" i="3"/>
  <c r="J293" i="3"/>
  <c r="G63" i="3"/>
  <c r="H231" i="3"/>
  <c r="G142" i="3"/>
  <c r="H270" i="3"/>
  <c r="J66" i="3"/>
  <c r="J7" i="3"/>
  <c r="J129" i="3"/>
  <c r="H49" i="3"/>
  <c r="H96" i="3"/>
  <c r="G102" i="3"/>
  <c r="G17" i="3"/>
  <c r="F133" i="3"/>
  <c r="F55" i="3"/>
  <c r="H59" i="3"/>
  <c r="G168" i="3"/>
  <c r="F116" i="3"/>
  <c r="F147" i="3"/>
  <c r="H243" i="3"/>
  <c r="G162" i="3"/>
  <c r="F221" i="3"/>
  <c r="H149" i="3"/>
  <c r="F239" i="3"/>
  <c r="G191" i="3"/>
  <c r="F96" i="3"/>
  <c r="G220" i="3"/>
  <c r="J95" i="3"/>
  <c r="J159" i="3"/>
  <c r="J228" i="3"/>
  <c r="J165" i="3"/>
  <c r="G58" i="3"/>
  <c r="F61" i="3"/>
  <c r="H229" i="3"/>
  <c r="H120" i="3"/>
  <c r="G155" i="3"/>
  <c r="H261" i="3"/>
  <c r="G193" i="3"/>
  <c r="H245" i="3"/>
  <c r="H167" i="3"/>
  <c r="G247" i="3"/>
  <c r="H199" i="3"/>
  <c r="G104" i="3"/>
  <c r="H228" i="3"/>
  <c r="J217" i="3"/>
  <c r="J194" i="3"/>
  <c r="J104" i="3"/>
  <c r="J201" i="3"/>
  <c r="F245" i="3"/>
  <c r="F69" i="3"/>
  <c r="H142" i="3"/>
  <c r="G229" i="3"/>
  <c r="F107" i="3"/>
  <c r="H157" i="3"/>
  <c r="H260" i="3"/>
  <c r="G71" i="3"/>
  <c r="G164" i="3"/>
  <c r="G262" i="3"/>
  <c r="F78" i="3"/>
  <c r="G143" i="3"/>
  <c r="G254" i="3"/>
  <c r="J283" i="3"/>
  <c r="J257" i="3"/>
  <c r="J76" i="3"/>
  <c r="J105" i="3"/>
  <c r="J20" i="3"/>
  <c r="J192" i="3"/>
  <c r="J139" i="3"/>
  <c r="J176" i="3"/>
  <c r="F250" i="3"/>
  <c r="H115" i="3"/>
  <c r="F173" i="3"/>
  <c r="H256" i="3"/>
  <c r="G79" i="3"/>
  <c r="F123" i="3"/>
  <c r="G235" i="3"/>
  <c r="F104" i="3"/>
  <c r="H136" i="3"/>
  <c r="H269" i="3"/>
  <c r="F119" i="3"/>
  <c r="H212" i="3"/>
  <c r="F229" i="3"/>
  <c r="J86" i="3"/>
  <c r="J202" i="3"/>
  <c r="J260" i="3"/>
  <c r="J15" i="3"/>
  <c r="J41" i="3"/>
  <c r="J203" i="3"/>
  <c r="J267" i="3"/>
  <c r="J78" i="3"/>
  <c r="G281" i="3"/>
  <c r="F81" i="3"/>
  <c r="F183" i="3"/>
  <c r="F279" i="3"/>
  <c r="H94" i="3"/>
  <c r="F153" i="3"/>
  <c r="F212" i="3"/>
  <c r="J162" i="3"/>
  <c r="J235" i="3"/>
  <c r="R235" i="3" s="1" a="1"/>
  <c r="J112" i="3"/>
  <c r="J141" i="3"/>
  <c r="J110" i="3"/>
  <c r="Q110" i="3" s="1" a="1"/>
  <c r="J40" i="3"/>
  <c r="J190" i="3"/>
  <c r="J248" i="3"/>
  <c r="G297" i="3"/>
  <c r="F304" i="3"/>
  <c r="F306" i="3"/>
  <c r="F294" i="3"/>
  <c r="F292" i="3"/>
  <c r="F313" i="3"/>
  <c r="F308" i="3"/>
  <c r="H299" i="3"/>
  <c r="G298" i="3"/>
  <c r="H293" i="3"/>
  <c r="H305" i="3"/>
  <c r="F310" i="3"/>
  <c r="H312" i="3"/>
  <c r="G315" i="3"/>
  <c r="G291" i="3"/>
  <c r="H292" i="3"/>
  <c r="J309" i="3"/>
  <c r="F319" i="3"/>
  <c r="G293" i="3"/>
  <c r="G302" i="3"/>
  <c r="H304" i="3"/>
  <c r="F293" i="3"/>
  <c r="H306" i="3"/>
  <c r="G294" i="3"/>
  <c r="F176" i="3"/>
  <c r="F254" i="3"/>
  <c r="F135" i="3"/>
  <c r="J175" i="3"/>
  <c r="J58" i="3"/>
  <c r="J216" i="3"/>
  <c r="J121" i="3"/>
  <c r="G4" i="3"/>
  <c r="H147" i="3"/>
  <c r="H18" i="3"/>
  <c r="G53" i="3"/>
  <c r="G5" i="3"/>
  <c r="G54" i="3"/>
  <c r="F7" i="3"/>
  <c r="H283" i="3"/>
  <c r="H107" i="3"/>
  <c r="F210" i="3"/>
  <c r="H282" i="3"/>
  <c r="G151" i="3"/>
  <c r="G284" i="3"/>
  <c r="F158" i="3"/>
  <c r="F76" i="3"/>
  <c r="F214" i="3"/>
  <c r="H161" i="3"/>
  <c r="G241" i="3"/>
  <c r="J44" i="3"/>
  <c r="J151" i="3"/>
  <c r="J169" i="3"/>
  <c r="J268" i="3"/>
  <c r="G70" i="3"/>
  <c r="H11" i="3"/>
  <c r="G277" i="3"/>
  <c r="F109" i="3"/>
  <c r="H214" i="3"/>
  <c r="F284" i="3"/>
  <c r="H159" i="3"/>
  <c r="H240" i="3"/>
  <c r="G166" i="3"/>
  <c r="G56" i="3"/>
  <c r="G222" i="3"/>
  <c r="F163" i="3"/>
  <c r="H249" i="3"/>
  <c r="J92" i="3"/>
  <c r="J178" i="3"/>
  <c r="J277" i="3"/>
  <c r="J179" i="3"/>
  <c r="F271" i="3"/>
  <c r="F105" i="3"/>
  <c r="G218" i="3"/>
  <c r="F265" i="3"/>
  <c r="G92" i="3"/>
  <c r="G194" i="3"/>
  <c r="F257" i="3"/>
  <c r="G107" i="3"/>
  <c r="H209" i="3"/>
  <c r="F275" i="3"/>
  <c r="H140" i="3"/>
  <c r="F194" i="3"/>
  <c r="G233" i="3"/>
  <c r="J137" i="3"/>
  <c r="J113" i="3"/>
  <c r="J208" i="3"/>
  <c r="J266" i="3"/>
  <c r="J18" i="3"/>
  <c r="J47" i="3"/>
  <c r="J209" i="3"/>
  <c r="J273" i="3"/>
  <c r="G253" i="3"/>
  <c r="G77" i="3"/>
  <c r="F144" i="3"/>
  <c r="G248" i="3"/>
  <c r="F120" i="3"/>
  <c r="F159" i="3"/>
  <c r="F262" i="3"/>
  <c r="H79" i="3"/>
  <c r="H181" i="3"/>
  <c r="H280" i="3"/>
  <c r="G86" i="3"/>
  <c r="H151" i="3"/>
  <c r="H210" i="3"/>
  <c r="J107" i="3"/>
  <c r="Q107" i="3" s="1" a="1"/>
  <c r="J37" i="3"/>
  <c r="J94" i="3"/>
  <c r="J123" i="3"/>
  <c r="J56" i="3"/>
  <c r="J49" i="3"/>
  <c r="J157" i="3"/>
  <c r="L157" i="3" s="1" a="1"/>
  <c r="J212" i="3"/>
  <c r="F270" i="3"/>
  <c r="G118" i="3"/>
  <c r="F181" i="3"/>
  <c r="G87" i="3"/>
  <c r="F97" i="3"/>
  <c r="G209" i="3"/>
  <c r="F255" i="3"/>
  <c r="J205" i="3"/>
  <c r="J210" i="3"/>
  <c r="J280" i="3"/>
  <c r="J219" i="3"/>
  <c r="J54" i="3"/>
  <c r="J89" i="3"/>
  <c r="J281" i="3"/>
  <c r="J88" i="3"/>
  <c r="H297" i="3"/>
  <c r="G308" i="3"/>
  <c r="G310" i="3"/>
  <c r="G300" i="3"/>
  <c r="H298" i="3"/>
  <c r="J299" i="3"/>
  <c r="R299" i="3" s="1" a="1"/>
  <c r="R299" i="3" s="1"/>
  <c r="F320" i="3"/>
  <c r="H310" i="3"/>
  <c r="G313" i="3"/>
  <c r="G286" i="3"/>
  <c r="F297" i="3"/>
  <c r="J302" i="3"/>
  <c r="J316" i="3"/>
  <c r="T316" i="3" s="1" a="1"/>
  <c r="T316" i="3" s="1"/>
  <c r="J300" i="3"/>
  <c r="S300" i="3" s="1" a="1"/>
  <c r="S300" i="3" s="1"/>
  <c r="J313" i="3"/>
  <c r="P313" i="3" s="1" a="1"/>
  <c r="P313" i="3" s="1"/>
  <c r="H300" i="3"/>
  <c r="H302" i="3"/>
  <c r="J317" i="3"/>
  <c r="F286" i="3"/>
  <c r="F314" i="3"/>
  <c r="H316" i="3"/>
  <c r="G307" i="3"/>
  <c r="H318" i="3"/>
  <c r="G309" i="3"/>
  <c r="G167" i="3"/>
  <c r="F86" i="3"/>
  <c r="H257" i="3"/>
  <c r="F170" i="3"/>
  <c r="J68" i="3"/>
  <c r="J156" i="3"/>
  <c r="J174" i="3"/>
  <c r="J278" i="3"/>
  <c r="J215" i="3"/>
  <c r="F63" i="3"/>
  <c r="F106" i="3"/>
  <c r="G204" i="3"/>
  <c r="G250" i="3"/>
  <c r="G93" i="3"/>
  <c r="G192" i="3"/>
  <c r="F283" i="3"/>
  <c r="G108" i="3"/>
  <c r="G208" i="3"/>
  <c r="G39" i="3"/>
  <c r="G123" i="3"/>
  <c r="H196" i="3"/>
  <c r="F256" i="3"/>
  <c r="J63" i="3"/>
  <c r="O63" i="3" s="1" a="1"/>
  <c r="J116" i="3"/>
  <c r="J271" i="3"/>
  <c r="J97" i="3"/>
  <c r="J126" i="3"/>
  <c r="J65" i="3"/>
  <c r="J199" i="3"/>
  <c r="J160" i="3"/>
  <c r="G279" i="3"/>
  <c r="G113" i="3"/>
  <c r="H207" i="3"/>
  <c r="F268" i="3"/>
  <c r="H100" i="3"/>
  <c r="H202" i="3"/>
  <c r="G265" i="3"/>
  <c r="G119" i="3"/>
  <c r="H179" i="3"/>
  <c r="G283" i="3"/>
  <c r="H95" i="3"/>
  <c r="G205" i="3"/>
  <c r="H250" i="3"/>
  <c r="J222" i="3"/>
  <c r="J34" i="3"/>
  <c r="J244" i="3"/>
  <c r="J183" i="3"/>
  <c r="P183" i="3" s="1" a="1"/>
  <c r="J36" i="3"/>
  <c r="J247" i="3"/>
  <c r="J245" i="3"/>
  <c r="O245" i="3" s="1" a="1"/>
  <c r="J70" i="3"/>
  <c r="F278" i="3"/>
  <c r="H146" i="3"/>
  <c r="G251" i="3"/>
  <c r="F49" i="3"/>
  <c r="G153" i="3"/>
  <c r="H205" i="3"/>
  <c r="H274" i="3"/>
  <c r="J99" i="3"/>
  <c r="J8" i="3"/>
  <c r="J122" i="3"/>
  <c r="J133" i="3"/>
  <c r="J164" i="3"/>
  <c r="J186" i="3"/>
  <c r="J282" i="3"/>
  <c r="J232" i="3"/>
  <c r="J304" i="3"/>
  <c r="H308" i="3"/>
  <c r="H320" i="3"/>
  <c r="F316" i="3"/>
  <c r="H311" i="3"/>
  <c r="H285" i="3"/>
  <c r="J296" i="3"/>
  <c r="J310" i="3"/>
  <c r="J294" i="3"/>
  <c r="F288" i="3"/>
  <c r="H287" i="3"/>
  <c r="F301" i="3"/>
  <c r="F305" i="3"/>
  <c r="G311" i="3"/>
  <c r="H317" i="3"/>
  <c r="F312" i="3"/>
  <c r="H314" i="3"/>
  <c r="G305" i="3"/>
  <c r="H288" i="3"/>
  <c r="J314" i="3"/>
  <c r="T314" i="3" s="1" a="1"/>
  <c r="T314" i="3" s="1"/>
  <c r="J292" i="3"/>
  <c r="O292" i="3" s="1" a="1"/>
  <c r="O292" i="3" s="1"/>
  <c r="G319" i="3"/>
  <c r="J298" i="3"/>
  <c r="J318" i="3"/>
  <c r="P318" i="3" s="1" a="1"/>
  <c r="P318" i="3" s="1"/>
  <c r="G19" i="3"/>
  <c r="F132" i="3"/>
  <c r="G13" i="3"/>
  <c r="H45" i="3"/>
  <c r="H48" i="3"/>
  <c r="H75" i="3"/>
  <c r="H126" i="3"/>
  <c r="F208" i="3"/>
  <c r="F92" i="3"/>
  <c r="H187" i="3"/>
  <c r="H53" i="3"/>
  <c r="G227" i="3"/>
  <c r="G89" i="3"/>
  <c r="H278" i="3"/>
  <c r="G161" i="3"/>
  <c r="J270" i="3"/>
  <c r="J130" i="3"/>
  <c r="J168" i="3"/>
  <c r="J226" i="3"/>
  <c r="F4" i="3"/>
  <c r="H63" i="3"/>
  <c r="F50" i="3"/>
  <c r="F77" i="3"/>
  <c r="F128" i="3"/>
  <c r="H223" i="3"/>
  <c r="G100" i="3"/>
  <c r="F189" i="3"/>
  <c r="H65" i="3"/>
  <c r="H182" i="3"/>
  <c r="H97" i="3"/>
  <c r="F280" i="3"/>
  <c r="H169" i="3"/>
  <c r="J38" i="3"/>
  <c r="J148" i="3"/>
  <c r="J276" i="3"/>
  <c r="J262" i="3"/>
  <c r="H221" i="3"/>
  <c r="G55" i="3"/>
  <c r="H170" i="3"/>
  <c r="H185" i="3"/>
  <c r="G271" i="3"/>
  <c r="F151" i="3"/>
  <c r="F238" i="3"/>
  <c r="H32" i="3"/>
  <c r="F166" i="3"/>
  <c r="F243" i="3"/>
  <c r="H117" i="3"/>
  <c r="H180" i="3"/>
  <c r="H176" i="3"/>
  <c r="G259" i="3"/>
  <c r="J182" i="3"/>
  <c r="J240" i="3"/>
  <c r="J52" i="3"/>
  <c r="J250" i="3"/>
  <c r="J189" i="3"/>
  <c r="J39" i="3"/>
  <c r="J265" i="3"/>
  <c r="J251" i="3"/>
  <c r="H123" i="3"/>
  <c r="H186" i="3"/>
  <c r="H206" i="3"/>
  <c r="H258" i="3"/>
  <c r="H101" i="3"/>
  <c r="H200" i="3"/>
  <c r="H276" i="3"/>
  <c r="H118" i="3"/>
  <c r="F216" i="3"/>
  <c r="H47" i="3"/>
  <c r="F145" i="3"/>
  <c r="F198" i="3"/>
  <c r="G264" i="3"/>
  <c r="J81" i="3"/>
  <c r="J180" i="3"/>
  <c r="J55" i="3"/>
  <c r="J115" i="3"/>
  <c r="J144" i="3"/>
  <c r="J119" i="3"/>
  <c r="J59" i="3"/>
  <c r="J196" i="3"/>
  <c r="G42" i="3"/>
  <c r="G127" i="3"/>
  <c r="H213" i="3"/>
  <c r="H81" i="3"/>
  <c r="F203" i="3"/>
  <c r="G186" i="3"/>
  <c r="G272" i="3"/>
  <c r="J254" i="3"/>
  <c r="J12" i="3"/>
  <c r="J35" i="3"/>
  <c r="J197" i="3"/>
  <c r="J261" i="3"/>
  <c r="J75" i="3"/>
  <c r="J152" i="3"/>
  <c r="G295" i="3"/>
  <c r="J289" i="3"/>
  <c r="H301" i="3"/>
  <c r="H313" i="3"/>
  <c r="G320" i="3"/>
  <c r="F318" i="3"/>
  <c r="J319" i="3"/>
  <c r="G299" i="3"/>
  <c r="F303" i="3"/>
  <c r="G296" i="3"/>
  <c r="J307" i="3"/>
  <c r="F291" i="3"/>
  <c r="G314" i="3"/>
  <c r="F317" i="3"/>
  <c r="J288" i="3"/>
  <c r="G287" i="3"/>
  <c r="J308" i="3"/>
  <c r="J286" i="3"/>
  <c r="O286" i="3" s="1" a="1"/>
  <c r="O286" i="3" s="1"/>
  <c r="G317" i="3"/>
  <c r="G292" i="3"/>
  <c r="G306" i="3"/>
  <c r="F298" i="3"/>
  <c r="J312" i="3"/>
  <c r="T312" i="3" s="1" a="1"/>
  <c r="T312" i="3" s="1"/>
  <c r="F300" i="3"/>
  <c r="O290" i="3" a="1"/>
  <c r="O290" i="3" s="1"/>
  <c r="Q318" i="3" a="1"/>
  <c r="Q318" i="3" s="1"/>
  <c r="S318" i="3" a="1"/>
  <c r="S318" i="3" s="1"/>
  <c r="K318" i="3" a="1"/>
  <c r="K318" i="3" s="1"/>
  <c r="L318" i="3" a="1"/>
  <c r="L318" i="3" s="1"/>
  <c r="T318" i="3" a="1"/>
  <c r="T318" i="3" s="1"/>
  <c r="O318" i="3" a="1"/>
  <c r="O318" i="3" s="1"/>
  <c r="O285" i="3" a="1"/>
  <c r="O285" i="3" s="1"/>
  <c r="S285" i="3" a="1"/>
  <c r="S285" i="3" s="1"/>
  <c r="L285" i="3" a="1"/>
  <c r="L285" i="3" s="1"/>
  <c r="U285" i="3" a="1"/>
  <c r="U285" i="3" s="1"/>
  <c r="P285" i="3" a="1"/>
  <c r="P285" i="3" s="1"/>
  <c r="R285" i="3" a="1"/>
  <c r="R285" i="3" s="1"/>
  <c r="Q285" i="3" a="1"/>
  <c r="Q285" i="3" s="1"/>
  <c r="T285" i="3" a="1"/>
  <c r="T285" i="3" s="1"/>
  <c r="K285" i="3" a="1"/>
  <c r="K285" i="3" s="1"/>
  <c r="K312" i="3" a="1"/>
  <c r="K312" i="3" s="1"/>
  <c r="K292" i="3" a="1"/>
  <c r="K292" i="3" s="1"/>
  <c r="U292" i="3" a="1"/>
  <c r="U292" i="3" s="1"/>
  <c r="S292" i="3" a="1"/>
  <c r="S292" i="3" s="1"/>
  <c r="L292" i="3" a="1"/>
  <c r="L292" i="3" s="1"/>
  <c r="T292" i="3" a="1"/>
  <c r="T292" i="3" s="1"/>
  <c r="P292" i="3" a="1"/>
  <c r="P292" i="3" s="1"/>
  <c r="P314" i="3" a="1"/>
  <c r="P314" i="3" s="1"/>
  <c r="Q314" i="3" a="1"/>
  <c r="Q314" i="3" s="1"/>
  <c r="K314" i="3" a="1"/>
  <c r="K314" i="3" s="1"/>
  <c r="S317" i="3" a="1"/>
  <c r="S317" i="3" s="1"/>
  <c r="U317" i="3" a="1"/>
  <c r="U317" i="3" s="1"/>
  <c r="K317" i="3" a="1"/>
  <c r="K317" i="3" s="1"/>
  <c r="O317" i="3" a="1"/>
  <c r="O317" i="3" s="1"/>
  <c r="T317" i="3" a="1"/>
  <c r="T317" i="3" s="1"/>
  <c r="L317" i="3" a="1"/>
  <c r="L317" i="3" s="1"/>
  <c r="P317" i="3" a="1"/>
  <c r="P317" i="3" s="1"/>
  <c r="R317" i="3" a="1"/>
  <c r="R317" i="3" s="1"/>
  <c r="Q317" i="3" a="1"/>
  <c r="Q317" i="3" s="1"/>
  <c r="U286" i="3" a="1"/>
  <c r="U286" i="3" s="1"/>
  <c r="Q286" i="3" a="1"/>
  <c r="Q286" i="3" s="1"/>
  <c r="L286" i="3" a="1"/>
  <c r="L286" i="3" s="1"/>
  <c r="K286" i="3" a="1"/>
  <c r="K286" i="3" s="1"/>
  <c r="P286" i="3" a="1"/>
  <c r="P286" i="3" s="1"/>
  <c r="Q313" i="3" a="1"/>
  <c r="Q313" i="3" s="1"/>
  <c r="S313" i="3" a="1"/>
  <c r="S313" i="3" s="1"/>
  <c r="K313" i="3" a="1"/>
  <c r="K313" i="3" s="1"/>
  <c r="R313" i="3" a="1"/>
  <c r="R313" i="3" s="1"/>
  <c r="T313" i="3" a="1"/>
  <c r="T313" i="3" s="1"/>
  <c r="O313" i="3" a="1"/>
  <c r="O313" i="3" s="1"/>
  <c r="L313" i="3" a="1"/>
  <c r="L313" i="3" s="1"/>
  <c r="U313" i="3" a="1"/>
  <c r="U313" i="3" s="1"/>
  <c r="Q300" i="3" a="1"/>
  <c r="Q300" i="3" s="1"/>
  <c r="U300" i="3" a="1"/>
  <c r="U300" i="3" s="1"/>
  <c r="P300" i="3" a="1"/>
  <c r="P300" i="3" s="1"/>
  <c r="T300" i="3" a="1"/>
  <c r="T300" i="3" s="1"/>
  <c r="O311" i="3" a="1"/>
  <c r="O311" i="3" s="1"/>
  <c r="O316" i="3" a="1"/>
  <c r="O316" i="3" s="1"/>
  <c r="K316" i="3" a="1"/>
  <c r="K316" i="3" s="1"/>
  <c r="P316" i="3" a="1"/>
  <c r="P316" i="3" s="1"/>
  <c r="L316" i="3" a="1"/>
  <c r="L316" i="3" s="1"/>
  <c r="S316" i="3" a="1"/>
  <c r="S316" i="3" s="1"/>
  <c r="R316" i="3" a="1"/>
  <c r="R316" i="3" s="1"/>
  <c r="U316" i="3" a="1"/>
  <c r="U316" i="3" s="1"/>
  <c r="Q316" i="3" a="1"/>
  <c r="Q316" i="3" s="1"/>
  <c r="R302" i="3" a="1"/>
  <c r="R302" i="3" s="1"/>
  <c r="K302" i="3" a="1"/>
  <c r="K302" i="3" s="1"/>
  <c r="Q302" i="3" a="1"/>
  <c r="Q302" i="3" s="1"/>
  <c r="T302" i="3" a="1"/>
  <c r="T302" i="3" s="1"/>
  <c r="L302" i="3" a="1"/>
  <c r="L302" i="3" s="1"/>
  <c r="U302" i="3" a="1"/>
  <c r="U302" i="3" s="1"/>
  <c r="P302" i="3" a="1"/>
  <c r="P302" i="3" s="1"/>
  <c r="S302" i="3" a="1"/>
  <c r="S302" i="3" s="1"/>
  <c r="O302" i="3" a="1"/>
  <c r="O302" i="3" s="1"/>
  <c r="O273" i="3" a="1"/>
  <c r="O273" i="3" s="1"/>
  <c r="U273" i="3" a="1"/>
  <c r="U273" i="3" s="1"/>
  <c r="Q273" i="3" a="1"/>
  <c r="Q273" i="3" s="1"/>
  <c r="P273" i="3" a="1"/>
  <c r="P273" i="3" s="1"/>
  <c r="R273" i="3" a="1"/>
  <c r="R273" i="3" s="1"/>
  <c r="S273" i="3" a="1"/>
  <c r="S273" i="3" s="1"/>
  <c r="R156" i="3" a="1"/>
  <c r="R156" i="3" s="1"/>
  <c r="P242" i="3" a="1"/>
  <c r="P242" i="3" s="1"/>
  <c r="U242" i="3" a="1"/>
  <c r="U242" i="3" s="1"/>
  <c r="P156" i="3" a="1"/>
  <c r="P156" i="3" s="1"/>
  <c r="K242" i="3" a="1"/>
  <c r="K242" i="3" s="1"/>
  <c r="T242" i="3" a="1"/>
  <c r="T242" i="3" s="1"/>
  <c r="T156" i="3" a="1"/>
  <c r="T156" i="3" s="1"/>
  <c r="U156" i="3" a="1"/>
  <c r="U156" i="3" s="1"/>
  <c r="L156" i="3" a="1"/>
  <c r="L156" i="3" s="1"/>
  <c r="K156" i="3" a="1"/>
  <c r="K156" i="3" s="1"/>
  <c r="S263" i="3" a="1"/>
  <c r="S263" i="3" s="1"/>
  <c r="K263" i="3" a="1"/>
  <c r="K263" i="3" s="1"/>
  <c r="P263" i="3" a="1"/>
  <c r="P263" i="3" s="1"/>
  <c r="P206" i="3" a="1"/>
  <c r="P206" i="3" s="1"/>
  <c r="O229" i="3" a="1"/>
  <c r="O229" i="3" s="1"/>
  <c r="S229" i="3" a="1"/>
  <c r="S229" i="3" s="1"/>
  <c r="L229" i="3" a="1"/>
  <c r="L229" i="3" s="1"/>
  <c r="T239" i="3" a="1"/>
  <c r="T239" i="3" s="1"/>
  <c r="R229" i="3" a="1"/>
  <c r="R229" i="3" s="1"/>
  <c r="Q229" i="3" a="1"/>
  <c r="Q229" i="3" s="1"/>
  <c r="L206" i="3" a="1"/>
  <c r="L206" i="3" s="1"/>
  <c r="T229" i="3" a="1"/>
  <c r="T229" i="3" s="1"/>
  <c r="S206" i="3" a="1"/>
  <c r="S206" i="3" s="1"/>
  <c r="U229" i="3" a="1"/>
  <c r="U229" i="3" s="1"/>
  <c r="R161" i="3" a="1"/>
  <c r="R161" i="3" s="1"/>
  <c r="T161" i="3" a="1"/>
  <c r="T161" i="3" s="1"/>
  <c r="K161" i="3" a="1"/>
  <c r="K161" i="3" s="1"/>
  <c r="P161" i="3" a="1"/>
  <c r="P161" i="3" s="1"/>
  <c r="P60" i="3" a="1"/>
  <c r="P60" i="3" s="1"/>
  <c r="S60" i="3" a="1"/>
  <c r="S60" i="3" s="1"/>
  <c r="T60" i="3" a="1"/>
  <c r="T60" i="3" s="1"/>
  <c r="U60" i="3" a="1"/>
  <c r="U60" i="3" s="1"/>
  <c r="L60" i="3" a="1"/>
  <c r="L60" i="3" s="1"/>
  <c r="R60" i="3" a="1"/>
  <c r="R60" i="3" s="1"/>
  <c r="R47" i="3" a="1"/>
  <c r="R47" i="3" s="1"/>
  <c r="Q47" i="3" a="1"/>
  <c r="Q47" i="3" s="1"/>
  <c r="P47" i="3" a="1"/>
  <c r="P47" i="3" s="1"/>
  <c r="L47" i="3" a="1"/>
  <c r="L47" i="3" s="1"/>
  <c r="P10" i="3" a="1"/>
  <c r="P10" i="3" s="1"/>
  <c r="Q10" i="3" a="1"/>
  <c r="Q10" i="3" s="1"/>
  <c r="U10" i="3" a="1"/>
  <c r="U10" i="3" s="1"/>
  <c r="O10" i="3" a="1"/>
  <c r="O10" i="3" s="1"/>
  <c r="T10" i="3" a="1"/>
  <c r="T10" i="3" s="1"/>
  <c r="K10" i="3" a="1"/>
  <c r="K10" i="3" s="1"/>
  <c r="S10" i="3" a="1"/>
  <c r="S10" i="3" s="1"/>
  <c r="R10" i="3" a="1"/>
  <c r="R10" i="3" s="1"/>
  <c r="L10" i="3" a="1"/>
  <c r="L10" i="3" s="1"/>
  <c r="P284" i="3" a="1"/>
  <c r="P284" i="3" s="1"/>
  <c r="R284" i="3" a="1"/>
  <c r="R284" i="3" s="1"/>
  <c r="O284" i="3" a="1"/>
  <c r="O284" i="3" s="1"/>
  <c r="Q284" i="3" a="1"/>
  <c r="Q284" i="3" s="1"/>
  <c r="L284" i="3" a="1"/>
  <c r="L284" i="3" s="1"/>
  <c r="S284" i="3" a="1"/>
  <c r="S284" i="3" s="1"/>
  <c r="K284" i="3" a="1"/>
  <c r="K284" i="3" s="1"/>
  <c r="U284" i="3" a="1"/>
  <c r="U284" i="3" s="1"/>
  <c r="T284" i="3" a="1"/>
  <c r="T284" i="3" s="1"/>
  <c r="K106" i="3" a="1"/>
  <c r="K106" i="3" s="1"/>
  <c r="L106" i="3" a="1"/>
  <c r="L106" i="3" s="1"/>
  <c r="P106" i="3" a="1"/>
  <c r="P106" i="3" s="1"/>
  <c r="R106" i="3" a="1"/>
  <c r="R106" i="3" s="1"/>
  <c r="U106" i="3" a="1"/>
  <c r="U106" i="3" s="1"/>
  <c r="S106" i="3" a="1"/>
  <c r="S106" i="3" s="1"/>
  <c r="O106" i="3" a="1"/>
  <c r="O106" i="3" s="1"/>
  <c r="T106" i="3" a="1"/>
  <c r="T106" i="3" s="1"/>
  <c r="Q106" i="3" a="1"/>
  <c r="Q106" i="3" s="1"/>
  <c r="H3" i="3"/>
  <c r="G3" i="3"/>
  <c r="L225" i="3" a="1"/>
  <c r="R225" i="3" a="1"/>
  <c r="O225" i="3" a="1"/>
  <c r="U59" i="3" a="1"/>
  <c r="Q59" i="3" a="1"/>
  <c r="U225" i="3" a="1"/>
  <c r="R59" i="3" a="1"/>
  <c r="K225" i="3" a="1"/>
  <c r="P225" i="3" a="1"/>
  <c r="U107" i="3" a="1"/>
  <c r="Q203" i="3" a="1"/>
  <c r="O113" i="3" a="1"/>
  <c r="K8" i="3" a="1"/>
  <c r="R8" i="3" a="1"/>
  <c r="L8" i="3" a="1"/>
  <c r="L56" i="3" a="1"/>
  <c r="O56" i="3" a="1"/>
  <c r="T203" i="3" a="1"/>
  <c r="K203" i="3" a="1"/>
  <c r="U167" i="3" a="1"/>
  <c r="S167" i="3" a="1"/>
  <c r="S241" i="3" a="1"/>
  <c r="L113" i="3" a="1"/>
  <c r="L63" i="3" a="1"/>
  <c r="T232" i="3" a="1"/>
  <c r="K232" i="3" a="1"/>
  <c r="U160" i="3" a="1"/>
  <c r="Q245" i="3" a="1"/>
  <c r="O8" i="3" a="1"/>
  <c r="T114" i="3" a="1"/>
  <c r="K114" i="3" a="1"/>
  <c r="U108" i="3" a="1"/>
  <c r="O203" i="3" a="1"/>
  <c r="T8" i="3" a="1"/>
  <c r="S8" i="3" a="1"/>
  <c r="T157" i="3" a="1"/>
  <c r="S56" i="3" a="1"/>
  <c r="R56" i="3" a="1"/>
  <c r="S102" i="3" a="1"/>
  <c r="Q56" i="3" a="1"/>
  <c r="U203" i="3" a="1"/>
  <c r="Q241" i="3" a="1"/>
  <c r="S113" i="3" a="1"/>
  <c r="P241" i="3" a="1"/>
  <c r="U232" i="3" a="1"/>
  <c r="R232" i="3" a="1"/>
  <c r="R160" i="3" a="1"/>
  <c r="O110" i="3" a="1"/>
  <c r="O148" i="3" a="1"/>
  <c r="O108" i="3" a="1"/>
  <c r="Q8" i="3" a="1"/>
  <c r="P110" i="3" a="1"/>
  <c r="S157" i="3" a="1"/>
  <c r="U56" i="3" a="1"/>
  <c r="K102" i="3" a="1"/>
  <c r="P203" i="3" a="1"/>
  <c r="P102" i="3" a="1"/>
  <c r="R167" i="3" a="1"/>
  <c r="O241" i="3" a="1"/>
  <c r="U113" i="3" a="1"/>
  <c r="Q232" i="3" a="1"/>
  <c r="L160" i="3" a="1"/>
  <c r="S160" i="3" a="1"/>
  <c r="P245" i="3" a="1"/>
  <c r="U8" i="3" a="1"/>
  <c r="Q157" i="3" a="1"/>
  <c r="P56" i="3" a="1"/>
  <c r="T102" i="3" a="1"/>
  <c r="L203" i="3" a="1"/>
  <c r="R203" i="3" a="1"/>
  <c r="K167" i="3" a="1"/>
  <c r="K241" i="3" a="1"/>
  <c r="T241" i="3" a="1"/>
  <c r="P113" i="3" a="1"/>
  <c r="Q63" i="3" a="1"/>
  <c r="L232" i="3" a="1"/>
  <c r="P160" i="3" a="1"/>
  <c r="O160" i="3" a="1"/>
  <c r="T255" i="3" a="1"/>
  <c r="R255" i="3" a="1"/>
  <c r="R110" i="3" a="1"/>
  <c r="P8" i="3" a="1"/>
  <c r="R157" i="3" a="1"/>
  <c r="P157" i="3" a="1"/>
  <c r="T56" i="3" a="1"/>
  <c r="R102" i="3" a="1"/>
  <c r="U102" i="3" a="1"/>
  <c r="O167" i="3" a="1"/>
  <c r="U241" i="3" a="1"/>
  <c r="R113" i="3" a="1"/>
  <c r="T113" i="3" a="1"/>
  <c r="O232" i="3" a="1"/>
  <c r="Q160" i="3" a="1"/>
  <c r="T160" i="3" a="1"/>
  <c r="L255" i="3" a="1"/>
  <c r="P255" i="3" a="1"/>
  <c r="Q114" i="3" a="1"/>
  <c r="S108" i="3" a="1"/>
  <c r="O157" i="3" a="1"/>
  <c r="U157" i="3" a="1"/>
  <c r="K56" i="3" a="1"/>
  <c r="L102" i="3" a="1"/>
  <c r="S203" i="3" a="1"/>
  <c r="Q102" i="3" a="1"/>
  <c r="P167" i="3" a="1"/>
  <c r="L241" i="3" a="1"/>
  <c r="K113" i="3" a="1"/>
  <c r="Q113" i="3" a="1"/>
  <c r="P63" i="3" a="1"/>
  <c r="R241" i="3" a="1"/>
  <c r="P232" i="3" a="1"/>
  <c r="S232" i="3" a="1"/>
  <c r="K160" i="3" a="1"/>
  <c r="U245" i="3" a="1"/>
  <c r="O57" i="3" a="1"/>
  <c r="R118" i="3" a="1"/>
  <c r="K78" i="3" a="1"/>
  <c r="T182" i="3" a="1"/>
  <c r="R315" i="3" a="1"/>
  <c r="L303" i="3" a="1"/>
  <c r="T96" i="3" a="1"/>
  <c r="R34" i="3" a="1"/>
  <c r="Q315" i="3" a="1"/>
  <c r="K274" i="3" a="1"/>
  <c r="U78" i="3" a="1"/>
  <c r="K196" i="3" a="1"/>
  <c r="P315" i="3" a="1"/>
  <c r="S307" i="3" a="1"/>
  <c r="Q301" i="3" a="1"/>
  <c r="P274" i="3" a="1"/>
  <c r="Q34" i="3" a="1"/>
  <c r="P180" i="3" a="1"/>
  <c r="T307" i="3" a="1"/>
  <c r="T301" i="3" a="1"/>
  <c r="T164" i="3" a="1"/>
  <c r="U34" i="3" a="1"/>
  <c r="P278" i="3" a="1"/>
  <c r="O308" i="3" a="1"/>
  <c r="T29" i="3" a="1"/>
  <c r="Q164" i="3" a="1"/>
  <c r="S34" i="3" a="1"/>
  <c r="U196" i="3" a="1"/>
  <c r="T34" i="3" a="1"/>
  <c r="L301" i="3" a="1"/>
  <c r="U303" i="3" a="1"/>
  <c r="T78" i="3" a="1"/>
  <c r="L279" i="3" a="1"/>
  <c r="T180" i="3" a="1"/>
  <c r="P307" i="3" a="1"/>
  <c r="P301" i="3" a="1"/>
  <c r="Q144" i="3" a="1"/>
  <c r="S308" i="3" a="1"/>
  <c r="K287" i="3" a="1"/>
  <c r="P308" i="3" a="1"/>
  <c r="P164" i="3" a="1"/>
  <c r="K144" i="3" a="1"/>
  <c r="P196" i="3" a="1"/>
  <c r="T287" i="3" a="1"/>
  <c r="T308" i="3" a="1"/>
  <c r="L78" i="3" a="1"/>
  <c r="R279" i="3" a="1"/>
  <c r="S279" i="3" a="1"/>
  <c r="T288" i="3" a="1"/>
  <c r="O278" i="3" a="1"/>
  <c r="O78" i="3" a="1"/>
  <c r="K180" i="3" a="1"/>
  <c r="T279" i="3" a="1"/>
  <c r="L307" i="3" a="1"/>
  <c r="U308" i="3" a="1"/>
  <c r="U278" i="3" a="1"/>
  <c r="S78" i="3" a="1"/>
  <c r="Q182" i="3" a="1"/>
  <c r="U279" i="3" a="1"/>
  <c r="U164" i="3" a="1"/>
  <c r="R301" i="3" a="1"/>
  <c r="Q278" i="3" a="1"/>
  <c r="L180" i="3" a="1"/>
  <c r="K288" i="3" a="1"/>
  <c r="R287" i="3" a="1"/>
  <c r="O288" i="3" a="1"/>
  <c r="Q78" i="3" a="1"/>
  <c r="P78" i="3" a="1"/>
  <c r="S287" i="3" a="1"/>
  <c r="Q287" i="3" a="1"/>
  <c r="R288" i="3" a="1"/>
  <c r="P144" i="3" a="1"/>
  <c r="O180" i="3" a="1"/>
  <c r="P287" i="3" a="1"/>
  <c r="L288" i="3" a="1"/>
  <c r="U144" i="3" a="1"/>
  <c r="O279" i="3" a="1"/>
  <c r="O301" i="3" a="1"/>
  <c r="T196" i="3" a="1"/>
  <c r="R307" i="3" a="1"/>
  <c r="R308" i="3" a="1"/>
  <c r="S274" i="3" a="1"/>
  <c r="L144" i="3" a="1"/>
  <c r="K182" i="3" a="1"/>
  <c r="Q29" i="3" a="1"/>
  <c r="L287" i="3" a="1"/>
  <c r="L308" i="3" a="1"/>
  <c r="L164" i="3" a="1"/>
  <c r="P34" i="3" a="1"/>
  <c r="L182" i="3" a="1"/>
  <c r="O164" i="3" a="1"/>
  <c r="U315" i="3" a="1"/>
  <c r="O303" i="3" a="1"/>
  <c r="R144" i="3" a="1"/>
  <c r="P279" i="3" a="1"/>
  <c r="S288" i="3" a="1"/>
  <c r="K315" i="3" a="1"/>
  <c r="S303" i="3" a="1"/>
  <c r="T144" i="3" a="1"/>
  <c r="O307" i="3" a="1"/>
  <c r="O315" i="3" a="1"/>
  <c r="K303" i="3" a="1"/>
  <c r="S164" i="3" a="1"/>
  <c r="S144" i="3" a="1"/>
  <c r="Q279" i="3" a="1"/>
  <c r="P303" i="3" a="1"/>
  <c r="O182" i="3" a="1"/>
  <c r="O96" i="3" a="1"/>
  <c r="P288" i="3" a="1"/>
  <c r="K96" i="3" a="1"/>
  <c r="S196" i="3" a="1"/>
  <c r="O34" i="3" a="1"/>
  <c r="O287" i="3" a="1"/>
  <c r="Q288" i="3" a="1"/>
  <c r="U96" i="3" a="1"/>
  <c r="K279" i="3" a="1"/>
  <c r="P182" i="3" a="1"/>
  <c r="R78" i="3" a="1"/>
  <c r="T315" i="3" a="1"/>
  <c r="S182" i="3" a="1"/>
  <c r="T303" i="3" a="1"/>
  <c r="L315" i="3" a="1"/>
  <c r="K29" i="3" a="1"/>
  <c r="K308" i="3" a="1"/>
  <c r="K301" i="3" a="1"/>
  <c r="R303" i="3" a="1"/>
  <c r="L183" i="3" a="1"/>
  <c r="O144" i="3" a="1"/>
  <c r="U287" i="3" a="1"/>
  <c r="U288" i="3" a="1"/>
  <c r="R96" i="3" a="1"/>
  <c r="K34" i="3" a="1"/>
  <c r="O196" i="3" a="1"/>
  <c r="R196" i="3" a="1"/>
  <c r="S315" i="3" a="1"/>
  <c r="Q303" i="3" a="1"/>
  <c r="P96" i="3" a="1"/>
  <c r="R182" i="3" a="1"/>
  <c r="R180" i="3" a="1"/>
  <c r="U307" i="3" a="1"/>
  <c r="U301" i="3" a="1"/>
  <c r="T9" i="3" a="1"/>
  <c r="L196" i="3" a="1"/>
  <c r="U182" i="3" a="1"/>
  <c r="S301" i="3" a="1"/>
  <c r="R274" i="3" a="1"/>
  <c r="L278" i="3" a="1"/>
  <c r="Q308" i="3" a="1"/>
  <c r="R278" i="3" a="1"/>
  <c r="Q96" i="3" a="1"/>
  <c r="L34" i="3" a="1"/>
  <c r="Q196" i="3" a="1"/>
  <c r="O119" i="3" a="1"/>
  <c r="Q9" i="3" l="1" a="1"/>
  <c r="R245" i="3" a="1"/>
  <c r="L245" i="3" a="1"/>
  <c r="L245" i="3" s="1"/>
  <c r="T63" i="3" a="1"/>
  <c r="K245" i="3" a="1"/>
  <c r="T110" i="3" a="1"/>
  <c r="T110" i="3" s="1"/>
  <c r="R107" i="3" a="1"/>
  <c r="S161" i="3" a="1"/>
  <c r="S161" i="3" s="1"/>
  <c r="Q239" i="3" a="1"/>
  <c r="Q239" i="3" s="1"/>
  <c r="K239" i="3" a="1"/>
  <c r="K239" i="3" s="1"/>
  <c r="R239" i="3" a="1"/>
  <c r="R239" i="3" s="1"/>
  <c r="O206" i="3" a="1"/>
  <c r="O206" i="3" s="1"/>
  <c r="U206" i="3" a="1"/>
  <c r="U206" i="3" s="1"/>
  <c r="O183" i="3" a="1"/>
  <c r="S183" i="3" a="1"/>
  <c r="S183" i="3" s="1"/>
  <c r="T183" i="3" a="1"/>
  <c r="L128" i="3" a="1"/>
  <c r="K128" i="3" a="1"/>
  <c r="K128" i="3" s="1"/>
  <c r="U63" i="3" a="1"/>
  <c r="U63" i="3" s="1"/>
  <c r="Q167" i="3" a="1"/>
  <c r="Q167" i="3" s="1"/>
  <c r="L167" i="3" a="1"/>
  <c r="L167" i="3" s="1"/>
  <c r="O107" i="3" a="1"/>
  <c r="Q161" i="3" a="1"/>
  <c r="Q161" i="3" s="1"/>
  <c r="K206" i="3" a="1"/>
  <c r="K206" i="3" s="1"/>
  <c r="Q183" i="3" a="1"/>
  <c r="O128" i="3" a="1"/>
  <c r="O128" i="3" s="1"/>
  <c r="P9" i="3" a="1"/>
  <c r="R63" i="3" a="1"/>
  <c r="R63" i="3" s="1"/>
  <c r="O9" i="3" a="1"/>
  <c r="S63" i="3" a="1"/>
  <c r="U183" i="3" a="1"/>
  <c r="U183" i="3" s="1"/>
  <c r="R183" i="3" a="1"/>
  <c r="K183" i="3" a="1"/>
  <c r="R128" i="3" a="1"/>
  <c r="R128" i="3" s="1"/>
  <c r="P128" i="3" a="1"/>
  <c r="K157" i="3" a="1"/>
  <c r="K110" i="3" a="1"/>
  <c r="K110" i="3" s="1"/>
  <c r="U110" i="3" a="1"/>
  <c r="U110" i="3" s="1"/>
  <c r="K63" i="3" a="1"/>
  <c r="K63" i="3" s="1"/>
  <c r="L161" i="3" a="1"/>
  <c r="L161" i="3" s="1"/>
  <c r="O161" i="3" a="1"/>
  <c r="O161" i="3" s="1"/>
  <c r="U239" i="3" a="1"/>
  <c r="U239" i="3" s="1"/>
  <c r="P239" i="3" a="1"/>
  <c r="P239" i="3" s="1"/>
  <c r="K160" i="3"/>
  <c r="S232" i="3"/>
  <c r="P232" i="3"/>
  <c r="R241" i="3"/>
  <c r="P63" i="3"/>
  <c r="Q113" i="3"/>
  <c r="K113" i="3"/>
  <c r="L241" i="3"/>
  <c r="P167" i="3"/>
  <c r="Q102" i="3"/>
  <c r="S203" i="3"/>
  <c r="L102" i="3"/>
  <c r="K56" i="3"/>
  <c r="U157" i="3"/>
  <c r="O157" i="3"/>
  <c r="S108" i="3"/>
  <c r="Q114" i="3"/>
  <c r="P255" i="3"/>
  <c r="L255" i="3"/>
  <c r="T160" i="3"/>
  <c r="Q160" i="3"/>
  <c r="O232" i="3"/>
  <c r="L128" i="3"/>
  <c r="T113" i="3"/>
  <c r="R113" i="3"/>
  <c r="U241" i="3"/>
  <c r="O167" i="3"/>
  <c r="U102" i="3"/>
  <c r="R102" i="3"/>
  <c r="T56" i="3"/>
  <c r="P157" i="3"/>
  <c r="R157" i="3"/>
  <c r="R235" i="3"/>
  <c r="P8" i="3"/>
  <c r="R110" i="3"/>
  <c r="R255" i="3"/>
  <c r="T255" i="3"/>
  <c r="O160" i="3"/>
  <c r="P160" i="3"/>
  <c r="L232" i="3"/>
  <c r="P128" i="3"/>
  <c r="Q63" i="3"/>
  <c r="P113" i="3"/>
  <c r="T241" i="3"/>
  <c r="K241" i="3"/>
  <c r="K167" i="3"/>
  <c r="K157" i="3"/>
  <c r="R203" i="3"/>
  <c r="L203" i="3"/>
  <c r="T102" i="3"/>
  <c r="P56" i="3"/>
  <c r="Q157" i="3"/>
  <c r="U8" i="3"/>
  <c r="S160" i="3"/>
  <c r="L160" i="3"/>
  <c r="Q232" i="3"/>
  <c r="T63" i="3"/>
  <c r="U113" i="3"/>
  <c r="O241" i="3"/>
  <c r="R167" i="3"/>
  <c r="P102" i="3"/>
  <c r="P203" i="3"/>
  <c r="K102" i="3"/>
  <c r="U56" i="3"/>
  <c r="S157" i="3"/>
  <c r="P110" i="3"/>
  <c r="Q8" i="3"/>
  <c r="O108" i="3"/>
  <c r="O148" i="3"/>
  <c r="O110" i="3"/>
  <c r="T167" i="3"/>
  <c r="R160" i="3"/>
  <c r="R232" i="3"/>
  <c r="U232" i="3"/>
  <c r="P241" i="3"/>
  <c r="S63" i="3"/>
  <c r="S113" i="3"/>
  <c r="Q241" i="3"/>
  <c r="U203" i="3"/>
  <c r="Q56" i="3"/>
  <c r="S102" i="3"/>
  <c r="R56" i="3"/>
  <c r="S56" i="3"/>
  <c r="T157" i="3"/>
  <c r="S8" i="3"/>
  <c r="Q110" i="3"/>
  <c r="T8" i="3"/>
  <c r="O203" i="3"/>
  <c r="U108" i="3"/>
  <c r="K114" i="3"/>
  <c r="T114" i="3"/>
  <c r="O8" i="3"/>
  <c r="U160" i="3"/>
  <c r="K232" i="3"/>
  <c r="T232" i="3"/>
  <c r="O63" i="3"/>
  <c r="L63" i="3"/>
  <c r="L113" i="3"/>
  <c r="S241" i="3"/>
  <c r="S167" i="3"/>
  <c r="U167" i="3"/>
  <c r="U128" i="3"/>
  <c r="K203" i="3"/>
  <c r="T203" i="3"/>
  <c r="O102" i="3"/>
  <c r="O56" i="3"/>
  <c r="L56" i="3"/>
  <c r="L157" i="3"/>
  <c r="L8" i="3"/>
  <c r="R8" i="3"/>
  <c r="K8" i="3"/>
  <c r="O113" i="3"/>
  <c r="Q203" i="3"/>
  <c r="R300" i="3" a="1"/>
  <c r="R300" i="3" s="1"/>
  <c r="S286" i="3" a="1"/>
  <c r="S286" i="3" s="1"/>
  <c r="R314" i="3" a="1"/>
  <c r="R314" i="3" s="1"/>
  <c r="Q292" i="3" a="1"/>
  <c r="Q292" i="3" s="1"/>
  <c r="R312" i="3" a="1"/>
  <c r="R312" i="3" s="1"/>
  <c r="U318" i="3" a="1"/>
  <c r="U318" i="3" s="1"/>
  <c r="P229" i="3" a="1"/>
  <c r="P229" i="3" s="1"/>
  <c r="U312" i="3" a="1"/>
  <c r="U312" i="3" s="1"/>
  <c r="Q312" i="3" a="1"/>
  <c r="Q312" i="3" s="1"/>
  <c r="R286" i="3" a="1"/>
  <c r="R286" i="3" s="1"/>
  <c r="U314" i="3" a="1"/>
  <c r="U314" i="3" s="1"/>
  <c r="P312" i="3" a="1"/>
  <c r="P312" i="3" s="1"/>
  <c r="T182" i="3"/>
  <c r="K78" i="3"/>
  <c r="Q289" i="3" a="1"/>
  <c r="Q289" i="3" s="1"/>
  <c r="S289" i="3" a="1"/>
  <c r="S289" i="3" s="1"/>
  <c r="P289" i="3" a="1"/>
  <c r="P289" i="3" s="1"/>
  <c r="T289" i="3" a="1"/>
  <c r="T289" i="3" s="1"/>
  <c r="U289" i="3" a="1"/>
  <c r="U289" i="3" s="1"/>
  <c r="O289" i="3" a="1"/>
  <c r="O289" i="3" s="1"/>
  <c r="Q298" i="3" a="1"/>
  <c r="Q298" i="3" s="1"/>
  <c r="P298" i="3" a="1"/>
  <c r="P298" i="3" s="1"/>
  <c r="T298" i="3" a="1"/>
  <c r="T298" i="3" s="1"/>
  <c r="U298" i="3" a="1"/>
  <c r="U298" i="3" s="1"/>
  <c r="R298" i="3" a="1"/>
  <c r="R298" i="3" s="1"/>
  <c r="S298" i="3" a="1"/>
  <c r="S298" i="3" s="1"/>
  <c r="L298" i="3" a="1"/>
  <c r="L298" i="3" s="1"/>
  <c r="O298" i="3" a="1"/>
  <c r="O298" i="3" s="1"/>
  <c r="K298" i="3" a="1"/>
  <c r="K298" i="3" s="1"/>
  <c r="T51" i="3" a="1"/>
  <c r="T51" i="3" s="1"/>
  <c r="S51" i="3" a="1"/>
  <c r="S51" i="3" s="1"/>
  <c r="O51" i="3" a="1"/>
  <c r="O51" i="3" s="1"/>
  <c r="Q138" i="3" a="1"/>
  <c r="Q138" i="3" s="1"/>
  <c r="L138" i="3" a="1"/>
  <c r="L138" i="3" s="1"/>
  <c r="O138" i="3" a="1"/>
  <c r="O138" i="3" s="1"/>
  <c r="P138" i="3" a="1"/>
  <c r="P138" i="3" s="1"/>
  <c r="O319" i="3" a="1"/>
  <c r="O319" i="3" s="1"/>
  <c r="T319" i="3" a="1"/>
  <c r="T319" i="3" s="1"/>
  <c r="S319" i="3" a="1"/>
  <c r="S319" i="3" s="1"/>
  <c r="R319" i="3" a="1"/>
  <c r="R319" i="3" s="1"/>
  <c r="P319" i="3" a="1"/>
  <c r="P319" i="3" s="1"/>
  <c r="U319" i="3" a="1"/>
  <c r="U319" i="3" s="1"/>
  <c r="Q319" i="3" a="1"/>
  <c r="Q319" i="3" s="1"/>
  <c r="U47" i="3" a="1"/>
  <c r="U47" i="3" s="1"/>
  <c r="T47" i="3" a="1"/>
  <c r="T47" i="3" s="1"/>
  <c r="O47" i="3" a="1"/>
  <c r="O47" i="3" s="1"/>
  <c r="S47" i="3" a="1"/>
  <c r="S47" i="3" s="1"/>
  <c r="K47" i="3" a="1"/>
  <c r="K47" i="3" s="1"/>
  <c r="R309" i="3" a="1"/>
  <c r="R309" i="3" s="1"/>
  <c r="O309" i="3" a="1"/>
  <c r="O309" i="3" s="1"/>
  <c r="Q309" i="3" a="1"/>
  <c r="Q309" i="3" s="1"/>
  <c r="T309" i="3" a="1"/>
  <c r="T309" i="3" s="1"/>
  <c r="K309" i="3" a="1"/>
  <c r="K309" i="3" s="1"/>
  <c r="P309" i="3" a="1"/>
  <c r="P309" i="3" s="1"/>
  <c r="U309" i="3" a="1"/>
  <c r="U309" i="3" s="1"/>
  <c r="S309" i="3" a="1"/>
  <c r="S309" i="3" s="1"/>
  <c r="L309" i="3" a="1"/>
  <c r="L309" i="3" s="1"/>
  <c r="K293" i="3" a="1"/>
  <c r="K293" i="3" s="1"/>
  <c r="Q293" i="3" a="1"/>
  <c r="Q293" i="3" s="1"/>
  <c r="S293" i="3" a="1"/>
  <c r="S293" i="3" s="1"/>
  <c r="O293" i="3" a="1"/>
  <c r="O293" i="3" s="1"/>
  <c r="P293" i="3" a="1"/>
  <c r="P293" i="3" s="1"/>
  <c r="T293" i="3" a="1"/>
  <c r="T293" i="3" s="1"/>
  <c r="R293" i="3" a="1"/>
  <c r="R293" i="3" s="1"/>
  <c r="L293" i="3" a="1"/>
  <c r="L293" i="3" s="1"/>
  <c r="U293" i="3" a="1"/>
  <c r="U293" i="3" s="1"/>
  <c r="O60" i="3" a="1"/>
  <c r="O60" i="3" s="1"/>
  <c r="K60" i="3" a="1"/>
  <c r="K60" i="3" s="1"/>
  <c r="Q60" i="3" a="1"/>
  <c r="Q60" i="3" s="1"/>
  <c r="R306" i="3" a="1"/>
  <c r="R306" i="3" s="1"/>
  <c r="K306" i="3" a="1"/>
  <c r="K306" i="3" s="1"/>
  <c r="Q306" i="3" a="1"/>
  <c r="Q306" i="3" s="1"/>
  <c r="L306" i="3" a="1"/>
  <c r="L306" i="3" s="1"/>
  <c r="U306" i="3" a="1"/>
  <c r="U306" i="3" s="1"/>
  <c r="T306" i="3" a="1"/>
  <c r="T306" i="3" s="1"/>
  <c r="P306" i="3" a="1"/>
  <c r="P306" i="3" s="1"/>
  <c r="S306" i="3" a="1"/>
  <c r="S306" i="3" s="1"/>
  <c r="O306" i="3" a="1"/>
  <c r="O306" i="3" s="1"/>
  <c r="S311" i="3" a="1"/>
  <c r="S311" i="3" s="1"/>
  <c r="U311" i="3" a="1"/>
  <c r="U311" i="3" s="1"/>
  <c r="L311" i="3" a="1"/>
  <c r="L311" i="3" s="1"/>
  <c r="T311" i="3" a="1"/>
  <c r="T311" i="3" s="1"/>
  <c r="P311" i="3" a="1"/>
  <c r="P311" i="3" s="1"/>
  <c r="R311" i="3" a="1"/>
  <c r="R311" i="3" s="1"/>
  <c r="Q311" i="3" a="1"/>
  <c r="Q311" i="3" s="1"/>
  <c r="K311" i="3" a="1"/>
  <c r="K311" i="3" s="1"/>
  <c r="O300" i="3" a="1"/>
  <c r="O300" i="3" s="1"/>
  <c r="L300" i="3" a="1"/>
  <c r="L300" i="3" s="1"/>
  <c r="T286" i="3" a="1"/>
  <c r="T286" i="3" s="1"/>
  <c r="L314" i="3" a="1"/>
  <c r="L314" i="3" s="1"/>
  <c r="O314" i="3" a="1"/>
  <c r="O314" i="3" s="1"/>
  <c r="R292" i="3" a="1"/>
  <c r="R292" i="3" s="1"/>
  <c r="L312" i="3" a="1"/>
  <c r="L312" i="3" s="1"/>
  <c r="O312" i="3" a="1"/>
  <c r="O312" i="3" s="1"/>
  <c r="R318" i="3" a="1"/>
  <c r="R318" i="3" s="1"/>
  <c r="K300" i="3" a="1"/>
  <c r="K300" i="3" s="1"/>
  <c r="S314" i="3" a="1"/>
  <c r="S314" i="3" s="1"/>
  <c r="S312" i="3" a="1"/>
  <c r="S312" i="3" s="1"/>
  <c r="S239" i="3" a="1"/>
  <c r="S239" i="3" s="1"/>
  <c r="O239" i="3" a="1"/>
  <c r="O239" i="3" s="1"/>
  <c r="K319" i="3" a="1"/>
  <c r="K319" i="3" s="1"/>
  <c r="L319" i="3" a="1"/>
  <c r="L319" i="3" s="1"/>
  <c r="R289" i="3" a="1"/>
  <c r="R289" i="3" s="1"/>
  <c r="L289" i="3" a="1"/>
  <c r="L289" i="3" s="1"/>
  <c r="K289" i="3" a="1"/>
  <c r="K289" i="3" s="1"/>
  <c r="O59" i="3" a="1"/>
  <c r="O59" i="3" s="1"/>
  <c r="K59" i="3" a="1"/>
  <c r="K59" i="3" s="1"/>
  <c r="T59" i="3" a="1"/>
  <c r="T59" i="3" s="1"/>
  <c r="P59" i="3" a="1"/>
  <c r="P59" i="3" s="1"/>
  <c r="L59" i="3" a="1"/>
  <c r="L59" i="3" s="1"/>
  <c r="S59" i="3" a="1"/>
  <c r="S59" i="3" s="1"/>
  <c r="L115" i="3" a="1"/>
  <c r="L115" i="3" s="1"/>
  <c r="O115" i="3" a="1"/>
  <c r="O115" i="3" s="1"/>
  <c r="P115" i="3" a="1"/>
  <c r="P115" i="3" s="1"/>
  <c r="Q115" i="3" a="1"/>
  <c r="Q115" i="3" s="1"/>
  <c r="S115" i="3" a="1"/>
  <c r="S115" i="3" s="1"/>
  <c r="R115" i="3" a="1"/>
  <c r="R115" i="3" s="1"/>
  <c r="T115" i="3" a="1"/>
  <c r="T115" i="3" s="1"/>
  <c r="K115" i="3" a="1"/>
  <c r="K115" i="3" s="1"/>
  <c r="U115" i="3" a="1"/>
  <c r="U115" i="3" s="1"/>
  <c r="U251" i="3" a="1"/>
  <c r="U251" i="3" s="1"/>
  <c r="L251" i="3" a="1"/>
  <c r="L251" i="3" s="1"/>
  <c r="Q251" i="3" a="1"/>
  <c r="Q251" i="3" s="1"/>
  <c r="R251" i="3" a="1"/>
  <c r="R251" i="3" s="1"/>
  <c r="T251" i="3" a="1"/>
  <c r="T251" i="3" s="1"/>
  <c r="P251" i="3" a="1"/>
  <c r="P251" i="3" s="1"/>
  <c r="K251" i="3" a="1"/>
  <c r="K251" i="3" s="1"/>
  <c r="S251" i="3" a="1"/>
  <c r="S251" i="3" s="1"/>
  <c r="O251" i="3" a="1"/>
  <c r="O251" i="3" s="1"/>
  <c r="L265" i="3" a="1"/>
  <c r="L265" i="3" s="1"/>
  <c r="S265" i="3" a="1"/>
  <c r="S265" i="3" s="1"/>
  <c r="K265" i="3" a="1"/>
  <c r="K265" i="3" s="1"/>
  <c r="T265" i="3" a="1"/>
  <c r="T265" i="3" s="1"/>
  <c r="P265" i="3" a="1"/>
  <c r="P265" i="3" s="1"/>
  <c r="U265" i="3" a="1"/>
  <c r="U265" i="3" s="1"/>
  <c r="Q265" i="3" a="1"/>
  <c r="Q265" i="3" s="1"/>
  <c r="R265" i="3" a="1"/>
  <c r="R265" i="3" s="1"/>
  <c r="O265" i="3" a="1"/>
  <c r="O265" i="3" s="1"/>
  <c r="U189" i="3" a="1"/>
  <c r="U189" i="3" s="1"/>
  <c r="S189" i="3" a="1"/>
  <c r="S189" i="3" s="1"/>
  <c r="Q189" i="3" a="1"/>
  <c r="Q189" i="3" s="1"/>
  <c r="K189" i="3" a="1"/>
  <c r="K189" i="3" s="1"/>
  <c r="T189" i="3" a="1"/>
  <c r="T189" i="3" s="1"/>
  <c r="R189" i="3" a="1"/>
  <c r="R189" i="3" s="1"/>
  <c r="O189" i="3" a="1"/>
  <c r="O189" i="3" s="1"/>
  <c r="P189" i="3" a="1"/>
  <c r="P189" i="3" s="1"/>
  <c r="L189" i="3" a="1"/>
  <c r="L189" i="3" s="1"/>
  <c r="T52" i="3" a="1"/>
  <c r="T52" i="3" s="1"/>
  <c r="Q52" i="3" a="1"/>
  <c r="Q52" i="3" s="1"/>
  <c r="R52" i="3" a="1"/>
  <c r="R52" i="3" s="1"/>
  <c r="S52" i="3" a="1"/>
  <c r="S52" i="3" s="1"/>
  <c r="U52" i="3" a="1"/>
  <c r="U52" i="3" s="1"/>
  <c r="K52" i="3" a="1"/>
  <c r="K52" i="3" s="1"/>
  <c r="L52" i="3" a="1"/>
  <c r="L52" i="3" s="1"/>
  <c r="P52" i="3" a="1"/>
  <c r="P52" i="3" s="1"/>
  <c r="O52" i="3" a="1"/>
  <c r="O52" i="3" s="1"/>
  <c r="P262" i="3" a="1"/>
  <c r="P262" i="3" s="1"/>
  <c r="O262" i="3" a="1"/>
  <c r="O262" i="3" s="1"/>
  <c r="U262" i="3" a="1"/>
  <c r="U262" i="3" s="1"/>
  <c r="T262" i="3" a="1"/>
  <c r="T262" i="3" s="1"/>
  <c r="R262" i="3" a="1"/>
  <c r="R262" i="3" s="1"/>
  <c r="L262" i="3" a="1"/>
  <c r="L262" i="3" s="1"/>
  <c r="K262" i="3" a="1"/>
  <c r="K262" i="3" s="1"/>
  <c r="S262" i="3" a="1"/>
  <c r="S262" i="3" s="1"/>
  <c r="Q262" i="3" a="1"/>
  <c r="Q262" i="3" s="1"/>
  <c r="S276" i="3" a="1"/>
  <c r="S276" i="3" s="1"/>
  <c r="K276" i="3" a="1"/>
  <c r="K276" i="3" s="1"/>
  <c r="O276" i="3" a="1"/>
  <c r="O276" i="3" s="1"/>
  <c r="P276" i="3" a="1"/>
  <c r="P276" i="3" s="1"/>
  <c r="T276" i="3" a="1"/>
  <c r="T276" i="3" s="1"/>
  <c r="L276" i="3" a="1"/>
  <c r="L276" i="3" s="1"/>
  <c r="R276" i="3" a="1"/>
  <c r="R276" i="3" s="1"/>
  <c r="U276" i="3" a="1"/>
  <c r="U276" i="3" s="1"/>
  <c r="Q276" i="3" a="1"/>
  <c r="Q276" i="3" s="1"/>
  <c r="L38" i="3" a="1"/>
  <c r="L38" i="3" s="1"/>
  <c r="O38" i="3" a="1"/>
  <c r="O38" i="3" s="1"/>
  <c r="S38" i="3" a="1"/>
  <c r="S38" i="3" s="1"/>
  <c r="R38" i="3" a="1"/>
  <c r="R38" i="3" s="1"/>
  <c r="Q38" i="3" a="1"/>
  <c r="Q38" i="3" s="1"/>
  <c r="U38" i="3" a="1"/>
  <c r="U38" i="3" s="1"/>
  <c r="P38" i="3" a="1"/>
  <c r="P38" i="3" s="1"/>
  <c r="K38" i="3" a="1"/>
  <c r="K38" i="3" s="1"/>
  <c r="T38" i="3" a="1"/>
  <c r="T38" i="3" s="1"/>
  <c r="T226" i="3" a="1"/>
  <c r="T226" i="3" s="1"/>
  <c r="R226" i="3" a="1"/>
  <c r="R226" i="3" s="1"/>
  <c r="K226" i="3" a="1"/>
  <c r="K226" i="3" s="1"/>
  <c r="O226" i="3" a="1"/>
  <c r="O226" i="3" s="1"/>
  <c r="U226" i="3" a="1"/>
  <c r="U226" i="3" s="1"/>
  <c r="P226" i="3" a="1"/>
  <c r="P226" i="3" s="1"/>
  <c r="L226" i="3" a="1"/>
  <c r="L226" i="3" s="1"/>
  <c r="S226" i="3" a="1"/>
  <c r="S226" i="3" s="1"/>
  <c r="Q226" i="3" a="1"/>
  <c r="Q226" i="3" s="1"/>
  <c r="O270" i="3" a="1"/>
  <c r="O270" i="3" s="1"/>
  <c r="L270" i="3" a="1"/>
  <c r="L270" i="3" s="1"/>
  <c r="K270" i="3" a="1"/>
  <c r="K270" i="3" s="1"/>
  <c r="R270" i="3" a="1"/>
  <c r="R270" i="3" s="1"/>
  <c r="U270" i="3" a="1"/>
  <c r="U270" i="3" s="1"/>
  <c r="S270" i="3" a="1"/>
  <c r="S270" i="3" s="1"/>
  <c r="T270" i="3" a="1"/>
  <c r="T270" i="3" s="1"/>
  <c r="Q270" i="3" a="1"/>
  <c r="Q270" i="3" s="1"/>
  <c r="P270" i="3" a="1"/>
  <c r="P270" i="3" s="1"/>
  <c r="O294" i="3" a="1"/>
  <c r="O294" i="3" s="1"/>
  <c r="L294" i="3" a="1"/>
  <c r="L294" i="3" s="1"/>
  <c r="K294" i="3" a="1"/>
  <c r="K294" i="3" s="1"/>
  <c r="P294" i="3" a="1"/>
  <c r="P294" i="3" s="1"/>
  <c r="U294" i="3" a="1"/>
  <c r="U294" i="3" s="1"/>
  <c r="T294" i="3" a="1"/>
  <c r="T294" i="3" s="1"/>
  <c r="R294" i="3" a="1"/>
  <c r="R294" i="3" s="1"/>
  <c r="S294" i="3" a="1"/>
  <c r="S294" i="3" s="1"/>
  <c r="Q294" i="3" a="1"/>
  <c r="Q294" i="3" s="1"/>
  <c r="S310" i="3" a="1"/>
  <c r="S310" i="3" s="1"/>
  <c r="U310" i="3" a="1"/>
  <c r="U310" i="3" s="1"/>
  <c r="O310" i="3" a="1"/>
  <c r="O310" i="3" s="1"/>
  <c r="L310" i="3" a="1"/>
  <c r="L310" i="3" s="1"/>
  <c r="Q310" i="3" a="1"/>
  <c r="Q310" i="3" s="1"/>
  <c r="R310" i="3" a="1"/>
  <c r="R310" i="3" s="1"/>
  <c r="T310" i="3" a="1"/>
  <c r="T310" i="3" s="1"/>
  <c r="P310" i="3" a="1"/>
  <c r="P310" i="3" s="1"/>
  <c r="K310" i="3" a="1"/>
  <c r="K310" i="3" s="1"/>
  <c r="O304" i="3" a="1"/>
  <c r="O304" i="3" s="1"/>
  <c r="P304" i="3" a="1"/>
  <c r="P304" i="3" s="1"/>
  <c r="L304" i="3" a="1"/>
  <c r="L304" i="3" s="1"/>
  <c r="R304" i="3" a="1"/>
  <c r="R304" i="3" s="1"/>
  <c r="T304" i="3" a="1"/>
  <c r="T304" i="3" s="1"/>
  <c r="U304" i="3" a="1"/>
  <c r="U304" i="3" s="1"/>
  <c r="K304" i="3" a="1"/>
  <c r="K304" i="3" s="1"/>
  <c r="S304" i="3" a="1"/>
  <c r="S304" i="3" s="1"/>
  <c r="Q304" i="3" a="1"/>
  <c r="Q304" i="3" s="1"/>
  <c r="U70" i="3" a="1"/>
  <c r="U70" i="3" s="1"/>
  <c r="Q70" i="3" a="1"/>
  <c r="Q70" i="3" s="1"/>
  <c r="S70" i="3" a="1"/>
  <c r="S70" i="3" s="1"/>
  <c r="T70" i="3" a="1"/>
  <c r="T70" i="3" s="1"/>
  <c r="R70" i="3" a="1"/>
  <c r="R70" i="3" s="1"/>
  <c r="P70" i="3" a="1"/>
  <c r="P70" i="3" s="1"/>
  <c r="L70" i="3" a="1"/>
  <c r="L70" i="3" s="1"/>
  <c r="O70" i="3" a="1"/>
  <c r="O70" i="3" s="1"/>
  <c r="K70" i="3" a="1"/>
  <c r="K70" i="3" s="1"/>
  <c r="T36" i="3" a="1"/>
  <c r="T36" i="3" s="1"/>
  <c r="P36" i="3" a="1"/>
  <c r="P36" i="3" s="1"/>
  <c r="Q36" i="3" a="1"/>
  <c r="Q36" i="3" s="1"/>
  <c r="O36" i="3" a="1"/>
  <c r="O36" i="3" s="1"/>
  <c r="R36" i="3" a="1"/>
  <c r="R36" i="3" s="1"/>
  <c r="U36" i="3" a="1"/>
  <c r="U36" i="3" s="1"/>
  <c r="S36" i="3" a="1"/>
  <c r="S36" i="3" s="1"/>
  <c r="K36" i="3" a="1"/>
  <c r="K36" i="3" s="1"/>
  <c r="L36" i="3" a="1"/>
  <c r="L36" i="3" s="1"/>
  <c r="L199" i="3" a="1"/>
  <c r="L199" i="3" s="1"/>
  <c r="S199" i="3" a="1"/>
  <c r="S199" i="3" s="1"/>
  <c r="O199" i="3" a="1"/>
  <c r="O199" i="3" s="1"/>
  <c r="K199" i="3" a="1"/>
  <c r="K199" i="3" s="1"/>
  <c r="T199" i="3" a="1"/>
  <c r="T199" i="3" s="1"/>
  <c r="Q199" i="3" a="1"/>
  <c r="Q199" i="3" s="1"/>
  <c r="R199" i="3" a="1"/>
  <c r="R199" i="3" s="1"/>
  <c r="P199" i="3" a="1"/>
  <c r="P199" i="3" s="1"/>
  <c r="U199" i="3" a="1"/>
  <c r="U199" i="3" s="1"/>
  <c r="R271" i="3" a="1"/>
  <c r="R271" i="3" s="1"/>
  <c r="L271" i="3" a="1"/>
  <c r="L271" i="3" s="1"/>
  <c r="U271" i="3" a="1"/>
  <c r="U271" i="3" s="1"/>
  <c r="T271" i="3" a="1"/>
  <c r="T271" i="3" s="1"/>
  <c r="S271" i="3" a="1"/>
  <c r="S271" i="3" s="1"/>
  <c r="O271" i="3" a="1"/>
  <c r="O271" i="3" s="1"/>
  <c r="K271" i="3" a="1"/>
  <c r="K271" i="3" s="1"/>
  <c r="P271" i="3" a="1"/>
  <c r="P271" i="3" s="1"/>
  <c r="Q271" i="3" a="1"/>
  <c r="Q271" i="3" s="1"/>
  <c r="O156" i="3" a="1"/>
  <c r="O156" i="3" s="1"/>
  <c r="Q156" i="3" a="1"/>
  <c r="Q156" i="3" s="1"/>
  <c r="S156" i="3" a="1"/>
  <c r="S156" i="3" s="1"/>
  <c r="S299" i="3" a="1"/>
  <c r="S299" i="3" s="1"/>
  <c r="K299" i="3" a="1"/>
  <c r="K299" i="3" s="1"/>
  <c r="P299" i="3" a="1"/>
  <c r="P299" i="3" s="1"/>
  <c r="O299" i="3" a="1"/>
  <c r="O299" i="3" s="1"/>
  <c r="L299" i="3" a="1"/>
  <c r="L299" i="3" s="1"/>
  <c r="T299" i="3" a="1"/>
  <c r="T299" i="3" s="1"/>
  <c r="U299" i="3" a="1"/>
  <c r="U299" i="3" s="1"/>
  <c r="Q299" i="3" a="1"/>
  <c r="Q299" i="3" s="1"/>
  <c r="U281" i="3" a="1"/>
  <c r="U281" i="3" s="1"/>
  <c r="T281" i="3" a="1"/>
  <c r="T281" i="3" s="1"/>
  <c r="P281" i="3" a="1"/>
  <c r="P281" i="3" s="1"/>
  <c r="L281" i="3" a="1"/>
  <c r="L281" i="3" s="1"/>
  <c r="S281" i="3" a="1"/>
  <c r="S281" i="3" s="1"/>
  <c r="O281" i="3" a="1"/>
  <c r="O281" i="3" s="1"/>
  <c r="Q281" i="3" a="1"/>
  <c r="Q281" i="3" s="1"/>
  <c r="R281" i="3" a="1"/>
  <c r="R281" i="3" s="1"/>
  <c r="K281" i="3" a="1"/>
  <c r="K281" i="3" s="1"/>
  <c r="S280" i="3" a="1"/>
  <c r="S280" i="3" s="1"/>
  <c r="Q280" i="3" a="1"/>
  <c r="Q280" i="3" s="1"/>
  <c r="R280" i="3" a="1"/>
  <c r="R280" i="3" s="1"/>
  <c r="U280" i="3" a="1"/>
  <c r="U280" i="3" s="1"/>
  <c r="L280" i="3" a="1"/>
  <c r="L280" i="3" s="1"/>
  <c r="P280" i="3" a="1"/>
  <c r="P280" i="3" s="1"/>
  <c r="K280" i="3" a="1"/>
  <c r="K280" i="3" s="1"/>
  <c r="T280" i="3" a="1"/>
  <c r="T280" i="3" s="1"/>
  <c r="O280" i="3" a="1"/>
  <c r="O280" i="3" s="1"/>
  <c r="O37" i="3" a="1"/>
  <c r="O37" i="3" s="1"/>
  <c r="U37" i="3" a="1"/>
  <c r="U37" i="3" s="1"/>
  <c r="Q37" i="3" a="1"/>
  <c r="Q37" i="3" s="1"/>
  <c r="S37" i="3" a="1"/>
  <c r="S37" i="3" s="1"/>
  <c r="P37" i="3" a="1"/>
  <c r="P37" i="3" s="1"/>
  <c r="T37" i="3" a="1"/>
  <c r="T37" i="3" s="1"/>
  <c r="L37" i="3" a="1"/>
  <c r="L37" i="3" s="1"/>
  <c r="K37" i="3" a="1"/>
  <c r="K37" i="3" s="1"/>
  <c r="R37" i="3" a="1"/>
  <c r="R37" i="3" s="1"/>
  <c r="L107" i="3" a="1"/>
  <c r="L107" i="3" s="1"/>
  <c r="S107" i="3" a="1"/>
  <c r="S107" i="3" s="1"/>
  <c r="T107" i="3" a="1"/>
  <c r="T107" i="3" s="1"/>
  <c r="K107" i="3" a="1"/>
  <c r="K107" i="3" s="1"/>
  <c r="P107" i="3" a="1"/>
  <c r="P107" i="3" s="1"/>
  <c r="T273" i="3" a="1"/>
  <c r="T273" i="3" s="1"/>
  <c r="L273" i="3" a="1"/>
  <c r="L273" i="3" s="1"/>
  <c r="K273" i="3" a="1"/>
  <c r="K273" i="3" s="1"/>
  <c r="L266" i="3" a="1"/>
  <c r="L266" i="3" s="1"/>
  <c r="O266" i="3" a="1"/>
  <c r="O266" i="3" s="1"/>
  <c r="S266" i="3" a="1"/>
  <c r="S266" i="3" s="1"/>
  <c r="K266" i="3" a="1"/>
  <c r="K266" i="3" s="1"/>
  <c r="Q266" i="3" a="1"/>
  <c r="Q266" i="3" s="1"/>
  <c r="R266" i="3" a="1"/>
  <c r="R266" i="3" s="1"/>
  <c r="T266" i="3" a="1"/>
  <c r="T266" i="3" s="1"/>
  <c r="U266" i="3" a="1"/>
  <c r="U266" i="3" s="1"/>
  <c r="P266" i="3" a="1"/>
  <c r="P266" i="3" s="1"/>
  <c r="T277" i="3" a="1"/>
  <c r="T277" i="3" s="1"/>
  <c r="L277" i="3" a="1"/>
  <c r="L277" i="3" s="1"/>
  <c r="O277" i="3" a="1"/>
  <c r="O277" i="3" s="1"/>
  <c r="S277" i="3" a="1"/>
  <c r="S277" i="3" s="1"/>
  <c r="K277" i="3" a="1"/>
  <c r="K277" i="3" s="1"/>
  <c r="Q277" i="3" a="1"/>
  <c r="Q277" i="3" s="1"/>
  <c r="R277" i="3" a="1"/>
  <c r="R277" i="3" s="1"/>
  <c r="U277" i="3" a="1"/>
  <c r="U277" i="3" s="1"/>
  <c r="P277" i="3" a="1"/>
  <c r="P277" i="3" s="1"/>
  <c r="R268" i="3" a="1"/>
  <c r="R268" i="3" s="1"/>
  <c r="K268" i="3" a="1"/>
  <c r="K268" i="3" s="1"/>
  <c r="L268" i="3" a="1"/>
  <c r="L268" i="3" s="1"/>
  <c r="U268" i="3" a="1"/>
  <c r="U268" i="3" s="1"/>
  <c r="Q268" i="3" a="1"/>
  <c r="Q268" i="3" s="1"/>
  <c r="O268" i="3" a="1"/>
  <c r="O268" i="3" s="1"/>
  <c r="P268" i="3" a="1"/>
  <c r="P268" i="3" s="1"/>
  <c r="T268" i="3" a="1"/>
  <c r="T268" i="3" s="1"/>
  <c r="S268" i="3" a="1"/>
  <c r="S268" i="3" s="1"/>
  <c r="P190" i="3" a="1"/>
  <c r="P190" i="3" s="1"/>
  <c r="L190" i="3" a="1"/>
  <c r="L190" i="3" s="1"/>
  <c r="R190" i="3" a="1"/>
  <c r="R190" i="3" s="1"/>
  <c r="S190" i="3" a="1"/>
  <c r="S190" i="3" s="1"/>
  <c r="Q190" i="3" a="1"/>
  <c r="Q190" i="3" s="1"/>
  <c r="T190" i="3" a="1"/>
  <c r="T190" i="3" s="1"/>
  <c r="U190" i="3" a="1"/>
  <c r="U190" i="3" s="1"/>
  <c r="O190" i="3" a="1"/>
  <c r="O190" i="3" s="1"/>
  <c r="K190" i="3" a="1"/>
  <c r="K190" i="3" s="1"/>
  <c r="U112" i="3" a="1"/>
  <c r="U112" i="3" s="1"/>
  <c r="S112" i="3" a="1"/>
  <c r="S112" i="3" s="1"/>
  <c r="Q112" i="3" a="1"/>
  <c r="Q112" i="3" s="1"/>
  <c r="T112" i="3" a="1"/>
  <c r="T112" i="3" s="1"/>
  <c r="K112" i="3" a="1"/>
  <c r="K112" i="3" s="1"/>
  <c r="O112" i="3" a="1"/>
  <c r="O112" i="3" s="1"/>
  <c r="P112" i="3" a="1"/>
  <c r="P112" i="3" s="1"/>
  <c r="R112" i="3" a="1"/>
  <c r="R112" i="3" s="1"/>
  <c r="L112" i="3" a="1"/>
  <c r="L112" i="3" s="1"/>
  <c r="P162" i="3" a="1"/>
  <c r="P162" i="3" s="1"/>
  <c r="L162" i="3" a="1"/>
  <c r="L162" i="3" s="1"/>
  <c r="S162" i="3" a="1"/>
  <c r="S162" i="3" s="1"/>
  <c r="O162" i="3" a="1"/>
  <c r="O162" i="3" s="1"/>
  <c r="R162" i="3" a="1"/>
  <c r="R162" i="3" s="1"/>
  <c r="U162" i="3" a="1"/>
  <c r="U162" i="3" s="1"/>
  <c r="T162" i="3" a="1"/>
  <c r="T162" i="3" s="1"/>
  <c r="K162" i="3" a="1"/>
  <c r="K162" i="3" s="1"/>
  <c r="Q162" i="3" a="1"/>
  <c r="Q162" i="3" s="1"/>
  <c r="R202" i="3" a="1"/>
  <c r="R202" i="3" s="1"/>
  <c r="S202" i="3" a="1"/>
  <c r="S202" i="3" s="1"/>
  <c r="T202" i="3" a="1"/>
  <c r="T202" i="3" s="1"/>
  <c r="Q202" i="3" a="1"/>
  <c r="Q202" i="3" s="1"/>
  <c r="P202" i="3" a="1"/>
  <c r="P202" i="3" s="1"/>
  <c r="U202" i="3" a="1"/>
  <c r="U202" i="3" s="1"/>
  <c r="K202" i="3" a="1"/>
  <c r="K202" i="3" s="1"/>
  <c r="O202" i="3" a="1"/>
  <c r="O202" i="3" s="1"/>
  <c r="L202" i="3" a="1"/>
  <c r="L202" i="3" s="1"/>
  <c r="L192" i="3" a="1"/>
  <c r="L192" i="3" s="1"/>
  <c r="Q192" i="3" a="1"/>
  <c r="Q192" i="3" s="1"/>
  <c r="T192" i="3" a="1"/>
  <c r="T192" i="3" s="1"/>
  <c r="O192" i="3" a="1"/>
  <c r="O192" i="3" s="1"/>
  <c r="S192" i="3" a="1"/>
  <c r="S192" i="3" s="1"/>
  <c r="U192" i="3" a="1"/>
  <c r="U192" i="3" s="1"/>
  <c r="P192" i="3" a="1"/>
  <c r="P192" i="3" s="1"/>
  <c r="R192" i="3" a="1"/>
  <c r="R192" i="3" s="1"/>
  <c r="K192" i="3" a="1"/>
  <c r="K192" i="3" s="1"/>
  <c r="O257" i="3" a="1"/>
  <c r="O257" i="3" s="1"/>
  <c r="R257" i="3" a="1"/>
  <c r="R257" i="3" s="1"/>
  <c r="P257" i="3" a="1"/>
  <c r="P257" i="3" s="1"/>
  <c r="L257" i="3" a="1"/>
  <c r="L257" i="3" s="1"/>
  <c r="T257" i="3" a="1"/>
  <c r="T257" i="3" s="1"/>
  <c r="S257" i="3" a="1"/>
  <c r="S257" i="3" s="1"/>
  <c r="Q257" i="3" a="1"/>
  <c r="Q257" i="3" s="1"/>
  <c r="K257" i="3" a="1"/>
  <c r="K257" i="3" s="1"/>
  <c r="U257" i="3" a="1"/>
  <c r="U257" i="3" s="1"/>
  <c r="P283" i="3" a="1"/>
  <c r="P283" i="3" s="1"/>
  <c r="T283" i="3" a="1"/>
  <c r="T283" i="3" s="1"/>
  <c r="K283" i="3" a="1"/>
  <c r="K283" i="3" s="1"/>
  <c r="R283" i="3" a="1"/>
  <c r="R283" i="3" s="1"/>
  <c r="S283" i="3" a="1"/>
  <c r="S283" i="3" s="1"/>
  <c r="Q283" i="3" a="1"/>
  <c r="Q283" i="3" s="1"/>
  <c r="O283" i="3" a="1"/>
  <c r="O283" i="3" s="1"/>
  <c r="U283" i="3" a="1"/>
  <c r="U283" i="3" s="1"/>
  <c r="L283" i="3" a="1"/>
  <c r="L283" i="3" s="1"/>
  <c r="K201" i="3" a="1"/>
  <c r="K201" i="3" s="1"/>
  <c r="Q201" i="3" a="1"/>
  <c r="Q201" i="3" s="1"/>
  <c r="S201" i="3" a="1"/>
  <c r="S201" i="3" s="1"/>
  <c r="T201" i="3" a="1"/>
  <c r="T201" i="3" s="1"/>
  <c r="L201" i="3" a="1"/>
  <c r="L201" i="3" s="1"/>
  <c r="O201" i="3" a="1"/>
  <c r="O201" i="3" s="1"/>
  <c r="P201" i="3" a="1"/>
  <c r="P201" i="3" s="1"/>
  <c r="R201" i="3" a="1"/>
  <c r="R201" i="3" s="1"/>
  <c r="U201" i="3" a="1"/>
  <c r="U201" i="3" s="1"/>
  <c r="T194" i="3" a="1"/>
  <c r="T194" i="3" s="1"/>
  <c r="P194" i="3" a="1"/>
  <c r="P194" i="3" s="1"/>
  <c r="K194" i="3" a="1"/>
  <c r="K194" i="3" s="1"/>
  <c r="L194" i="3" a="1"/>
  <c r="L194" i="3" s="1"/>
  <c r="U194" i="3" a="1"/>
  <c r="U194" i="3" s="1"/>
  <c r="S194" i="3" a="1"/>
  <c r="S194" i="3" s="1"/>
  <c r="Q194" i="3" a="1"/>
  <c r="Q194" i="3" s="1"/>
  <c r="O194" i="3" a="1"/>
  <c r="O194" i="3" s="1"/>
  <c r="R194" i="3" a="1"/>
  <c r="R194" i="3" s="1"/>
  <c r="K165" i="3" a="1"/>
  <c r="K165" i="3" s="1"/>
  <c r="Q165" i="3" a="1"/>
  <c r="Q165" i="3" s="1"/>
  <c r="U165" i="3" a="1"/>
  <c r="U165" i="3" s="1"/>
  <c r="R165" i="3" a="1"/>
  <c r="R165" i="3" s="1"/>
  <c r="L165" i="3" a="1"/>
  <c r="L165" i="3" s="1"/>
  <c r="P165" i="3" a="1"/>
  <c r="P165" i="3" s="1"/>
  <c r="S165" i="3" a="1"/>
  <c r="S165" i="3" s="1"/>
  <c r="O165" i="3" a="1"/>
  <c r="O165" i="3" s="1"/>
  <c r="T165" i="3" a="1"/>
  <c r="T165" i="3" s="1"/>
  <c r="K228" i="3" a="1"/>
  <c r="K228" i="3" s="1"/>
  <c r="T228" i="3" a="1"/>
  <c r="T228" i="3" s="1"/>
  <c r="O228" i="3" a="1"/>
  <c r="O228" i="3" s="1"/>
  <c r="R228" i="3" a="1"/>
  <c r="R228" i="3" s="1"/>
  <c r="U228" i="3" a="1"/>
  <c r="U228" i="3" s="1"/>
  <c r="S228" i="3" a="1"/>
  <c r="S228" i="3" s="1"/>
  <c r="L228" i="3" a="1"/>
  <c r="L228" i="3" s="1"/>
  <c r="P228" i="3" a="1"/>
  <c r="P228" i="3" s="1"/>
  <c r="Q228" i="3" a="1"/>
  <c r="Q228" i="3" s="1"/>
  <c r="P7" i="3" a="1"/>
  <c r="P7" i="3" s="1"/>
  <c r="U7" i="3" a="1"/>
  <c r="U7" i="3" s="1"/>
  <c r="T7" i="3" a="1"/>
  <c r="T7" i="3" s="1"/>
  <c r="S7" i="3" a="1"/>
  <c r="S7" i="3" s="1"/>
  <c r="L7" i="3" a="1"/>
  <c r="L7" i="3" s="1"/>
  <c r="Q7" i="3" a="1"/>
  <c r="Q7" i="3" s="1"/>
  <c r="O7" i="3" a="1"/>
  <c r="O7" i="3" s="1"/>
  <c r="R7" i="3" a="1"/>
  <c r="R7" i="3" s="1"/>
  <c r="K7" i="3" a="1"/>
  <c r="K7" i="3" s="1"/>
  <c r="O305" i="3" a="1"/>
  <c r="O305" i="3" s="1"/>
  <c r="S305" i="3" a="1"/>
  <c r="S305" i="3" s="1"/>
  <c r="P305" i="3" a="1"/>
  <c r="P305" i="3" s="1"/>
  <c r="U305" i="3" a="1"/>
  <c r="U305" i="3" s="1"/>
  <c r="Q305" i="3" a="1"/>
  <c r="Q305" i="3" s="1"/>
  <c r="K305" i="3" a="1"/>
  <c r="K305" i="3" s="1"/>
  <c r="T305" i="3" a="1"/>
  <c r="T305" i="3" s="1"/>
  <c r="L305" i="3" a="1"/>
  <c r="L305" i="3" s="1"/>
  <c r="R305" i="3" a="1"/>
  <c r="R305" i="3" s="1"/>
  <c r="U297" i="3" a="1"/>
  <c r="U297" i="3" s="1"/>
  <c r="S297" i="3" a="1"/>
  <c r="S297" i="3" s="1"/>
  <c r="R297" i="3" a="1"/>
  <c r="R297" i="3" s="1"/>
  <c r="P297" i="3" a="1"/>
  <c r="P297" i="3" s="1"/>
  <c r="L297" i="3" a="1"/>
  <c r="L297" i="3" s="1"/>
  <c r="T297" i="3" a="1"/>
  <c r="T297" i="3" s="1"/>
  <c r="K297" i="3" a="1"/>
  <c r="K297" i="3" s="1"/>
  <c r="Q297" i="3" a="1"/>
  <c r="Q297" i="3" s="1"/>
  <c r="O297" i="3" a="1"/>
  <c r="O297" i="3" s="1"/>
  <c r="L320" i="3" a="1"/>
  <c r="L320" i="3" s="1"/>
  <c r="R320" i="3" a="1"/>
  <c r="R320" i="3" s="1"/>
  <c r="P320" i="3" a="1"/>
  <c r="P320" i="3" s="1"/>
  <c r="T320" i="3" a="1"/>
  <c r="T320" i="3" s="1"/>
  <c r="Q320" i="3" a="1"/>
  <c r="Q320" i="3" s="1"/>
  <c r="O320" i="3" a="1"/>
  <c r="O320" i="3" s="1"/>
  <c r="S320" i="3" a="1"/>
  <c r="S320" i="3" s="1"/>
  <c r="K320" i="3" a="1"/>
  <c r="K320" i="3" s="1"/>
  <c r="U320" i="3" a="1"/>
  <c r="U320" i="3" s="1"/>
  <c r="R204" i="3" a="1"/>
  <c r="R204" i="3" s="1"/>
  <c r="Q204" i="3" a="1"/>
  <c r="Q204" i="3" s="1"/>
  <c r="T204" i="3" a="1"/>
  <c r="T204" i="3" s="1"/>
  <c r="K204" i="3" a="1"/>
  <c r="K204" i="3" s="1"/>
  <c r="L204" i="3" a="1"/>
  <c r="L204" i="3" s="1"/>
  <c r="P204" i="3" a="1"/>
  <c r="P204" i="3" s="1"/>
  <c r="U204" i="3" a="1"/>
  <c r="U204" i="3" s="1"/>
  <c r="S204" i="3" a="1"/>
  <c r="S204" i="3" s="1"/>
  <c r="O204" i="3" a="1"/>
  <c r="O204" i="3" s="1"/>
  <c r="Q5" i="3" a="1"/>
  <c r="Q5" i="3" s="1"/>
  <c r="K5" i="3" a="1"/>
  <c r="K5" i="3" s="1"/>
  <c r="U5" i="3" a="1"/>
  <c r="U5" i="3" s="1"/>
  <c r="T5" i="3" a="1"/>
  <c r="T5" i="3" s="1"/>
  <c r="P5" i="3" a="1"/>
  <c r="P5" i="3" s="1"/>
  <c r="S5" i="3" a="1"/>
  <c r="S5" i="3" s="1"/>
  <c r="O5" i="3" a="1"/>
  <c r="O5" i="3" s="1"/>
  <c r="R5" i="3" a="1"/>
  <c r="R5" i="3" s="1"/>
  <c r="L5" i="3" a="1"/>
  <c r="L5" i="3" s="1"/>
  <c r="S224" i="3" a="1"/>
  <c r="S224" i="3" s="1"/>
  <c r="L224" i="3" a="1"/>
  <c r="L224" i="3" s="1"/>
  <c r="P224" i="3" a="1"/>
  <c r="P224" i="3" s="1"/>
  <c r="O224" i="3" a="1"/>
  <c r="O224" i="3" s="1"/>
  <c r="Q224" i="3" a="1"/>
  <c r="Q224" i="3" s="1"/>
  <c r="T224" i="3" a="1"/>
  <c r="T224" i="3" s="1"/>
  <c r="R224" i="3" a="1"/>
  <c r="R224" i="3" s="1"/>
  <c r="K224" i="3" a="1"/>
  <c r="K224" i="3" s="1"/>
  <c r="U224" i="3" a="1"/>
  <c r="U224" i="3" s="1"/>
  <c r="K127" i="3" a="1"/>
  <c r="K127" i="3" s="1"/>
  <c r="O127" i="3" a="1"/>
  <c r="O127" i="3" s="1"/>
  <c r="L127" i="3" a="1"/>
  <c r="L127" i="3" s="1"/>
  <c r="P127" i="3" a="1"/>
  <c r="P127" i="3" s="1"/>
  <c r="Q127" i="3" a="1"/>
  <c r="Q127" i="3" s="1"/>
  <c r="T127" i="3" a="1"/>
  <c r="T127" i="3" s="1"/>
  <c r="R127" i="3" a="1"/>
  <c r="R127" i="3" s="1"/>
  <c r="U127" i="3" a="1"/>
  <c r="U127" i="3" s="1"/>
  <c r="S127" i="3" a="1"/>
  <c r="S127" i="3" s="1"/>
  <c r="P6" i="3" a="1"/>
  <c r="P6" i="3" s="1"/>
  <c r="S6" i="3" a="1"/>
  <c r="S6" i="3" s="1"/>
  <c r="Q6" i="3" a="1"/>
  <c r="Q6" i="3" s="1"/>
  <c r="O6" i="3" a="1"/>
  <c r="O6" i="3" s="1"/>
  <c r="L6" i="3" a="1"/>
  <c r="L6" i="3" s="1"/>
  <c r="R6" i="3" a="1"/>
  <c r="R6" i="3" s="1"/>
  <c r="T6" i="3" a="1"/>
  <c r="T6" i="3" s="1"/>
  <c r="U6" i="3" a="1"/>
  <c r="U6" i="3" s="1"/>
  <c r="K6" i="3" a="1"/>
  <c r="K6" i="3" s="1"/>
  <c r="T26" i="3" a="1"/>
  <c r="T26" i="3" s="1"/>
  <c r="U26" i="3" a="1"/>
  <c r="U26" i="3" s="1"/>
  <c r="L26" i="3" a="1"/>
  <c r="L26" i="3" s="1"/>
  <c r="Q26" i="3" a="1"/>
  <c r="Q26" i="3" s="1"/>
  <c r="O26" i="3" a="1"/>
  <c r="O26" i="3" s="1"/>
  <c r="P26" i="3" a="1"/>
  <c r="P26" i="3" s="1"/>
  <c r="S26" i="3" a="1"/>
  <c r="S26" i="3" s="1"/>
  <c r="R26" i="3" a="1"/>
  <c r="R26" i="3" s="1"/>
  <c r="K26" i="3" a="1"/>
  <c r="K26" i="3" s="1"/>
  <c r="Q62" i="3" a="1"/>
  <c r="Q62" i="3" s="1"/>
  <c r="L62" i="3" a="1"/>
  <c r="L62" i="3" s="1"/>
  <c r="U62" i="3" a="1"/>
  <c r="U62" i="3" s="1"/>
  <c r="T62" i="3" a="1"/>
  <c r="T62" i="3" s="1"/>
  <c r="S62" i="3" a="1"/>
  <c r="S62" i="3" s="1"/>
  <c r="K62" i="3" a="1"/>
  <c r="K62" i="3" s="1"/>
  <c r="O62" i="3" a="1"/>
  <c r="O62" i="3" s="1"/>
  <c r="P62" i="3" a="1"/>
  <c r="P62" i="3" s="1"/>
  <c r="R62" i="3" a="1"/>
  <c r="R62" i="3" s="1"/>
  <c r="P290" i="3" a="1"/>
  <c r="P290" i="3" s="1"/>
  <c r="Q290" i="3" a="1"/>
  <c r="Q290" i="3" s="1"/>
  <c r="K290" i="3" a="1"/>
  <c r="K290" i="3" s="1"/>
  <c r="S290" i="3" a="1"/>
  <c r="S290" i="3" s="1"/>
  <c r="U290" i="3" a="1"/>
  <c r="U290" i="3" s="1"/>
  <c r="R290" i="3" a="1"/>
  <c r="R290" i="3" s="1"/>
  <c r="T290" i="3" a="1"/>
  <c r="T290" i="3" s="1"/>
  <c r="L290" i="3" a="1"/>
  <c r="L290" i="3" s="1"/>
  <c r="L187" i="3" a="1"/>
  <c r="L187" i="3" s="1"/>
  <c r="R187" i="3" a="1"/>
  <c r="R187" i="3" s="1"/>
  <c r="Q187" i="3" a="1"/>
  <c r="Q187" i="3" s="1"/>
  <c r="S187" i="3" a="1"/>
  <c r="S187" i="3" s="1"/>
  <c r="U187" i="3" a="1"/>
  <c r="U187" i="3" s="1"/>
  <c r="K187" i="3" a="1"/>
  <c r="K187" i="3" s="1"/>
  <c r="O187" i="3" a="1"/>
  <c r="O187" i="3" s="1"/>
  <c r="P187" i="3" a="1"/>
  <c r="P187" i="3" s="1"/>
  <c r="T187" i="3" a="1"/>
  <c r="T187" i="3" s="1"/>
  <c r="S91" i="3" a="1"/>
  <c r="S91" i="3" s="1"/>
  <c r="L91" i="3" a="1"/>
  <c r="L91" i="3" s="1"/>
  <c r="P91" i="3" a="1"/>
  <c r="P91" i="3" s="1"/>
  <c r="Q91" i="3" a="1"/>
  <c r="Q91" i="3" s="1"/>
  <c r="K91" i="3" a="1"/>
  <c r="K91" i="3" s="1"/>
  <c r="O91" i="3" a="1"/>
  <c r="O91" i="3" s="1"/>
  <c r="T91" i="3" a="1"/>
  <c r="T91" i="3" s="1"/>
  <c r="U91" i="3" a="1"/>
  <c r="U91" i="3" s="1"/>
  <c r="R91" i="3" a="1"/>
  <c r="R91" i="3" s="1"/>
  <c r="S242" i="3" a="1"/>
  <c r="S242" i="3" s="1"/>
  <c r="O242" i="3" a="1"/>
  <c r="O242" i="3" s="1"/>
  <c r="R242" i="3" a="1"/>
  <c r="R242" i="3" s="1"/>
  <c r="L242" i="3" a="1"/>
  <c r="L242" i="3" s="1"/>
  <c r="Q242" i="3" a="1"/>
  <c r="Q242" i="3" s="1"/>
  <c r="P181" i="3" a="1"/>
  <c r="P181" i="3" s="1"/>
  <c r="T181" i="3" a="1"/>
  <c r="T181" i="3" s="1"/>
  <c r="L181" i="3" a="1"/>
  <c r="L181" i="3" s="1"/>
  <c r="U181" i="3" a="1"/>
  <c r="U181" i="3" s="1"/>
  <c r="K181" i="3" a="1"/>
  <c r="K181" i="3" s="1"/>
  <c r="Q181" i="3" a="1"/>
  <c r="Q181" i="3" s="1"/>
  <c r="O181" i="3" a="1"/>
  <c r="O181" i="3" s="1"/>
  <c r="S181" i="3" a="1"/>
  <c r="S181" i="3" s="1"/>
  <c r="R181" i="3" a="1"/>
  <c r="R181" i="3" s="1"/>
  <c r="S275" i="3" a="1"/>
  <c r="S275" i="3" s="1"/>
  <c r="L275" i="3" a="1"/>
  <c r="L275" i="3" s="1"/>
  <c r="T275" i="3" a="1"/>
  <c r="T275" i="3" s="1"/>
  <c r="K275" i="3" a="1"/>
  <c r="K275" i="3" s="1"/>
  <c r="R275" i="3" a="1"/>
  <c r="R275" i="3" s="1"/>
  <c r="O275" i="3" a="1"/>
  <c r="O275" i="3" s="1"/>
  <c r="Q275" i="3" a="1"/>
  <c r="Q275" i="3" s="1"/>
  <c r="P275" i="3" a="1"/>
  <c r="P275" i="3" s="1"/>
  <c r="U275" i="3" a="1"/>
  <c r="U275" i="3" s="1"/>
  <c r="Q51" i="3" a="1"/>
  <c r="Q51" i="3" s="1"/>
  <c r="L51" i="3" a="1"/>
  <c r="L51" i="3" s="1"/>
  <c r="K51" i="3" a="1"/>
  <c r="K51" i="3" s="1"/>
  <c r="P51" i="3" a="1"/>
  <c r="P51" i="3" s="1"/>
  <c r="U51" i="3" a="1"/>
  <c r="U51" i="3" s="1"/>
  <c r="R51" i="3" a="1"/>
  <c r="R51" i="3" s="1"/>
  <c r="Q206" i="3" a="1"/>
  <c r="Q206" i="3" s="1"/>
  <c r="T206" i="3" a="1"/>
  <c r="T206" i="3" s="1"/>
  <c r="U264" i="3" a="1"/>
  <c r="U264" i="3" s="1"/>
  <c r="R264" i="3" a="1"/>
  <c r="R264" i="3" s="1"/>
  <c r="S264" i="3" a="1"/>
  <c r="S264" i="3" s="1"/>
  <c r="O264" i="3" a="1"/>
  <c r="O264" i="3" s="1"/>
  <c r="L264" i="3" a="1"/>
  <c r="L264" i="3" s="1"/>
  <c r="K264" i="3" a="1"/>
  <c r="K264" i="3" s="1"/>
  <c r="T264" i="3" a="1"/>
  <c r="T264" i="3" s="1"/>
  <c r="Q264" i="3" a="1"/>
  <c r="Q264" i="3" s="1"/>
  <c r="P264" i="3" a="1"/>
  <c r="P264" i="3" s="1"/>
  <c r="R200" i="3" a="1"/>
  <c r="R200" i="3" s="1"/>
  <c r="U200" i="3" a="1"/>
  <c r="U200" i="3" s="1"/>
  <c r="P200" i="3" a="1"/>
  <c r="P200" i="3" s="1"/>
  <c r="Q200" i="3" a="1"/>
  <c r="Q200" i="3" s="1"/>
  <c r="L200" i="3" a="1"/>
  <c r="L200" i="3" s="1"/>
  <c r="T200" i="3" a="1"/>
  <c r="T200" i="3" s="1"/>
  <c r="K200" i="3" a="1"/>
  <c r="K200" i="3" s="1"/>
  <c r="O200" i="3" a="1"/>
  <c r="O200" i="3" s="1"/>
  <c r="S200" i="3" a="1"/>
  <c r="S200" i="3" s="1"/>
  <c r="T87" i="3" a="1"/>
  <c r="T87" i="3" s="1"/>
  <c r="P87" i="3" a="1"/>
  <c r="P87" i="3" s="1"/>
  <c r="S87" i="3" a="1"/>
  <c r="S87" i="3" s="1"/>
  <c r="K87" i="3" a="1"/>
  <c r="K87" i="3" s="1"/>
  <c r="O87" i="3" a="1"/>
  <c r="O87" i="3" s="1"/>
  <c r="L87" i="3" a="1"/>
  <c r="L87" i="3" s="1"/>
  <c r="Q87" i="3" a="1"/>
  <c r="Q87" i="3" s="1"/>
  <c r="U87" i="3" a="1"/>
  <c r="U87" i="3" s="1"/>
  <c r="R87" i="3" a="1"/>
  <c r="R87" i="3" s="1"/>
  <c r="Q46" i="3" a="1"/>
  <c r="Q46" i="3" s="1"/>
  <c r="U46" i="3" a="1"/>
  <c r="U46" i="3" s="1"/>
  <c r="T46" i="3" a="1"/>
  <c r="T46" i="3" s="1"/>
  <c r="K46" i="3" a="1"/>
  <c r="K46" i="3" s="1"/>
  <c r="O46" i="3" a="1"/>
  <c r="O46" i="3" s="1"/>
  <c r="S46" i="3" a="1"/>
  <c r="S46" i="3" s="1"/>
  <c r="L46" i="3" a="1"/>
  <c r="L46" i="3" s="1"/>
  <c r="P46" i="3" a="1"/>
  <c r="P46" i="3" s="1"/>
  <c r="R46" i="3" a="1"/>
  <c r="R46" i="3" s="1"/>
  <c r="S27" i="3" a="1"/>
  <c r="S27" i="3" s="1"/>
  <c r="U27" i="3" a="1"/>
  <c r="U27" i="3" s="1"/>
  <c r="R27" i="3" a="1"/>
  <c r="R27" i="3" s="1"/>
  <c r="K27" i="3" a="1"/>
  <c r="K27" i="3" s="1"/>
  <c r="L27" i="3" a="1"/>
  <c r="L27" i="3" s="1"/>
  <c r="P27" i="3" a="1"/>
  <c r="P27" i="3" s="1"/>
  <c r="Q27" i="3" a="1"/>
  <c r="Q27" i="3" s="1"/>
  <c r="O27" i="3" a="1"/>
  <c r="O27" i="3" s="1"/>
  <c r="T27" i="3" a="1"/>
  <c r="T27" i="3" s="1"/>
  <c r="U256" i="3" a="1"/>
  <c r="U256" i="3" s="1"/>
  <c r="S256" i="3" a="1"/>
  <c r="S256" i="3" s="1"/>
  <c r="R256" i="3" a="1"/>
  <c r="R256" i="3" s="1"/>
  <c r="Q256" i="3" a="1"/>
  <c r="Q256" i="3" s="1"/>
  <c r="P256" i="3" a="1"/>
  <c r="P256" i="3" s="1"/>
  <c r="O256" i="3" a="1"/>
  <c r="O256" i="3" s="1"/>
  <c r="L256" i="3" a="1"/>
  <c r="L256" i="3" s="1"/>
  <c r="K256" i="3" a="1"/>
  <c r="K256" i="3" s="1"/>
  <c r="T256" i="3" a="1"/>
  <c r="T256" i="3" s="1"/>
  <c r="K83" i="3" a="1"/>
  <c r="K83" i="3" s="1"/>
  <c r="P83" i="3" a="1"/>
  <c r="P83" i="3" s="1"/>
  <c r="S83" i="3" a="1"/>
  <c r="S83" i="3" s="1"/>
  <c r="L83" i="3" a="1"/>
  <c r="L83" i="3" s="1"/>
  <c r="Q83" i="3" a="1"/>
  <c r="Q83" i="3" s="1"/>
  <c r="O83" i="3" a="1"/>
  <c r="O83" i="3" s="1"/>
  <c r="T83" i="3" a="1"/>
  <c r="T83" i="3" s="1"/>
  <c r="R83" i="3" a="1"/>
  <c r="R83" i="3" s="1"/>
  <c r="U83" i="3" a="1"/>
  <c r="U83" i="3" s="1"/>
  <c r="T43" i="3" a="1"/>
  <c r="T43" i="3" s="1"/>
  <c r="R43" i="3" a="1"/>
  <c r="R43" i="3" s="1"/>
  <c r="U43" i="3" a="1"/>
  <c r="U43" i="3" s="1"/>
  <c r="L43" i="3" a="1"/>
  <c r="L43" i="3" s="1"/>
  <c r="O43" i="3" a="1"/>
  <c r="O43" i="3" s="1"/>
  <c r="Q43" i="3" a="1"/>
  <c r="Q43" i="3" s="1"/>
  <c r="K43" i="3" a="1"/>
  <c r="K43" i="3" s="1"/>
  <c r="P43" i="3" a="1"/>
  <c r="P43" i="3" s="1"/>
  <c r="S43" i="3" a="1"/>
  <c r="S43" i="3" s="1"/>
  <c r="P11" i="3" a="1"/>
  <c r="P11" i="3" s="1"/>
  <c r="L11" i="3" a="1"/>
  <c r="L11" i="3" s="1"/>
  <c r="U11" i="3" a="1"/>
  <c r="U11" i="3" s="1"/>
  <c r="Q11" i="3" a="1"/>
  <c r="Q11" i="3" s="1"/>
  <c r="R11" i="3" a="1"/>
  <c r="R11" i="3" s="1"/>
  <c r="T11" i="3" a="1"/>
  <c r="T11" i="3" s="1"/>
  <c r="O11" i="3" a="1"/>
  <c r="O11" i="3" s="1"/>
  <c r="K11" i="3" a="1"/>
  <c r="K11" i="3" s="1"/>
  <c r="S11" i="3" a="1"/>
  <c r="S11" i="3" s="1"/>
  <c r="L21" i="3" a="1"/>
  <c r="L21" i="3" s="1"/>
  <c r="Q21" i="3" a="1"/>
  <c r="Q21" i="3" s="1"/>
  <c r="S21" i="3" a="1"/>
  <c r="S21" i="3" s="1"/>
  <c r="R21" i="3" a="1"/>
  <c r="R21" i="3" s="1"/>
  <c r="P21" i="3" a="1"/>
  <c r="P21" i="3" s="1"/>
  <c r="O21" i="3" a="1"/>
  <c r="O21" i="3" s="1"/>
  <c r="U21" i="3" a="1"/>
  <c r="U21" i="3" s="1"/>
  <c r="T21" i="3" a="1"/>
  <c r="T21" i="3" s="1"/>
  <c r="K21" i="3" a="1"/>
  <c r="K21" i="3" s="1"/>
  <c r="S225" i="3" a="1"/>
  <c r="S225" i="3" s="1"/>
  <c r="Q225" i="3" a="1"/>
  <c r="Q225" i="3" s="1"/>
  <c r="T225" i="3" a="1"/>
  <c r="T225" i="3" s="1"/>
  <c r="T243" i="3" a="1"/>
  <c r="T243" i="3" s="1"/>
  <c r="K243" i="3" a="1"/>
  <c r="K243" i="3" s="1"/>
  <c r="S243" i="3" a="1"/>
  <c r="S243" i="3" s="1"/>
  <c r="U243" i="3" a="1"/>
  <c r="U243" i="3" s="1"/>
  <c r="Q243" i="3" a="1"/>
  <c r="Q243" i="3" s="1"/>
  <c r="P243" i="3" a="1"/>
  <c r="P243" i="3" s="1"/>
  <c r="L243" i="3" a="1"/>
  <c r="L243" i="3" s="1"/>
  <c r="O243" i="3" a="1"/>
  <c r="O243" i="3" s="1"/>
  <c r="R243" i="3" a="1"/>
  <c r="R243" i="3" s="1"/>
  <c r="S185" i="3" a="1"/>
  <c r="S185" i="3" s="1"/>
  <c r="R185" i="3" a="1"/>
  <c r="R185" i="3" s="1"/>
  <c r="K185" i="3" a="1"/>
  <c r="K185" i="3" s="1"/>
  <c r="T185" i="3" a="1"/>
  <c r="T185" i="3" s="1"/>
  <c r="Q185" i="3" a="1"/>
  <c r="Q185" i="3" s="1"/>
  <c r="U185" i="3" a="1"/>
  <c r="U185" i="3" s="1"/>
  <c r="P185" i="3" a="1"/>
  <c r="P185" i="3" s="1"/>
  <c r="O185" i="3" a="1"/>
  <c r="O185" i="3" s="1"/>
  <c r="L185" i="3" a="1"/>
  <c r="L185" i="3" s="1"/>
  <c r="R263" i="3" a="1"/>
  <c r="R263" i="3" s="1"/>
  <c r="L263" i="3" a="1"/>
  <c r="L263" i="3" s="1"/>
  <c r="U263" i="3" a="1"/>
  <c r="U263" i="3" s="1"/>
  <c r="Q263" i="3" a="1"/>
  <c r="Q263" i="3" s="1"/>
  <c r="O263" i="3" a="1"/>
  <c r="O263" i="3" s="1"/>
  <c r="T263" i="3" a="1"/>
  <c r="T263" i="3" s="1"/>
  <c r="K269" i="3" a="1"/>
  <c r="K269" i="3" s="1"/>
  <c r="R269" i="3" a="1"/>
  <c r="R269" i="3" s="1"/>
  <c r="L269" i="3" a="1"/>
  <c r="L269" i="3" s="1"/>
  <c r="U269" i="3" a="1"/>
  <c r="U269" i="3" s="1"/>
  <c r="T269" i="3" a="1"/>
  <c r="T269" i="3" s="1"/>
  <c r="Q269" i="3" a="1"/>
  <c r="Q269" i="3" s="1"/>
  <c r="P269" i="3" a="1"/>
  <c r="P269" i="3" s="1"/>
  <c r="S269" i="3" a="1"/>
  <c r="S269" i="3" s="1"/>
  <c r="O269" i="3" a="1"/>
  <c r="O269" i="3" s="1"/>
  <c r="R85" i="3" a="1"/>
  <c r="R85" i="3" s="1"/>
  <c r="S85" i="3" a="1"/>
  <c r="S85" i="3" s="1"/>
  <c r="K85" i="3" a="1"/>
  <c r="K85" i="3" s="1"/>
  <c r="Q85" i="3" a="1"/>
  <c r="Q85" i="3" s="1"/>
  <c r="L85" i="3" a="1"/>
  <c r="L85" i="3" s="1"/>
  <c r="U85" i="3" a="1"/>
  <c r="U85" i="3" s="1"/>
  <c r="P85" i="3" a="1"/>
  <c r="P85" i="3" s="1"/>
  <c r="T85" i="3" a="1"/>
  <c r="T85" i="3" s="1"/>
  <c r="O85" i="3" a="1"/>
  <c r="O85" i="3" s="1"/>
  <c r="Q80" i="3" a="1"/>
  <c r="Q80" i="3" s="1"/>
  <c r="S80" i="3" a="1"/>
  <c r="S80" i="3" s="1"/>
  <c r="T80" i="3" a="1"/>
  <c r="T80" i="3" s="1"/>
  <c r="R80" i="3" a="1"/>
  <c r="R80" i="3" s="1"/>
  <c r="U80" i="3" a="1"/>
  <c r="U80" i="3" s="1"/>
  <c r="O80" i="3" a="1"/>
  <c r="O80" i="3" s="1"/>
  <c r="K80" i="3" a="1"/>
  <c r="K80" i="3" s="1"/>
  <c r="P80" i="3" a="1"/>
  <c r="P80" i="3" s="1"/>
  <c r="L80" i="3" a="1"/>
  <c r="L80" i="3" s="1"/>
  <c r="U213" i="3" a="1"/>
  <c r="U213" i="3" s="1"/>
  <c r="K213" i="3" a="1"/>
  <c r="K213" i="3" s="1"/>
  <c r="R213" i="3" a="1"/>
  <c r="R213" i="3" s="1"/>
  <c r="P213" i="3" a="1"/>
  <c r="P213" i="3" s="1"/>
  <c r="O213" i="3" a="1"/>
  <c r="O213" i="3" s="1"/>
  <c r="Q213" i="3" a="1"/>
  <c r="Q213" i="3" s="1"/>
  <c r="S213" i="3" a="1"/>
  <c r="S213" i="3" s="1"/>
  <c r="L213" i="3" a="1"/>
  <c r="L213" i="3" s="1"/>
  <c r="T213" i="3" a="1"/>
  <c r="T213" i="3" s="1"/>
  <c r="K117" i="3" a="1"/>
  <c r="K117" i="3" s="1"/>
  <c r="S117" i="3" a="1"/>
  <c r="S117" i="3" s="1"/>
  <c r="T117" i="3" a="1"/>
  <c r="T117" i="3" s="1"/>
  <c r="Q117" i="3" a="1"/>
  <c r="Q117" i="3" s="1"/>
  <c r="U117" i="3" a="1"/>
  <c r="U117" i="3" s="1"/>
  <c r="R117" i="3" a="1"/>
  <c r="R117" i="3" s="1"/>
  <c r="O117" i="3" a="1"/>
  <c r="O117" i="3" s="1"/>
  <c r="P117" i="3" a="1"/>
  <c r="P117" i="3" s="1"/>
  <c r="L117" i="3" a="1"/>
  <c r="L117" i="3" s="1"/>
  <c r="O295" i="3" a="1"/>
  <c r="O295" i="3" s="1"/>
  <c r="K295" i="3" a="1"/>
  <c r="K295" i="3" s="1"/>
  <c r="L295" i="3" a="1"/>
  <c r="L295" i="3" s="1"/>
  <c r="P295" i="3" a="1"/>
  <c r="P295" i="3" s="1"/>
  <c r="U295" i="3" a="1"/>
  <c r="U295" i="3" s="1"/>
  <c r="R295" i="3" a="1"/>
  <c r="R295" i="3" s="1"/>
  <c r="S295" i="3" a="1"/>
  <c r="S295" i="3" s="1"/>
  <c r="Q295" i="3" a="1"/>
  <c r="Q295" i="3" s="1"/>
  <c r="T295" i="3" a="1"/>
  <c r="T295" i="3" s="1"/>
  <c r="K138" i="3" a="1"/>
  <c r="K138" i="3" s="1"/>
  <c r="U138" i="3" a="1"/>
  <c r="U138" i="3" s="1"/>
  <c r="R138" i="3" a="1"/>
  <c r="R138" i="3" s="1"/>
  <c r="T138" i="3" a="1"/>
  <c r="T138" i="3" s="1"/>
  <c r="S138" i="3" a="1"/>
  <c r="S138" i="3" s="1"/>
  <c r="Q28" i="3" a="1"/>
  <c r="Q28" i="3" s="1"/>
  <c r="K28" i="3" a="1"/>
  <c r="K28" i="3" s="1"/>
  <c r="P28" i="3" a="1"/>
  <c r="P28" i="3" s="1"/>
  <c r="O28" i="3" a="1"/>
  <c r="O28" i="3" s="1"/>
  <c r="L28" i="3" a="1"/>
  <c r="L28" i="3" s="1"/>
  <c r="S28" i="3" a="1"/>
  <c r="S28" i="3" s="1"/>
  <c r="U28" i="3" a="1"/>
  <c r="U28" i="3" s="1"/>
  <c r="R28" i="3" a="1"/>
  <c r="R28" i="3" s="1"/>
  <c r="T28" i="3" a="1"/>
  <c r="T28" i="3" s="1"/>
  <c r="U124" i="3" a="1"/>
  <c r="U124" i="3" s="1"/>
  <c r="R124" i="3" a="1"/>
  <c r="R124" i="3" s="1"/>
  <c r="Q124" i="3" a="1"/>
  <c r="Q124" i="3" s="1"/>
  <c r="P124" i="3" a="1"/>
  <c r="P124" i="3" s="1"/>
  <c r="K124" i="3" a="1"/>
  <c r="K124" i="3" s="1"/>
  <c r="T124" i="3" a="1"/>
  <c r="T124" i="3" s="1"/>
  <c r="S124" i="3" a="1"/>
  <c r="S124" i="3" s="1"/>
  <c r="L124" i="3" a="1"/>
  <c r="L124" i="3" s="1"/>
  <c r="O124" i="3" a="1"/>
  <c r="O124" i="3" s="1"/>
  <c r="U193" i="3" a="1"/>
  <c r="U193" i="3" s="1"/>
  <c r="K193" i="3" a="1"/>
  <c r="K193" i="3" s="1"/>
  <c r="O193" i="3" a="1"/>
  <c r="O193" i="3" s="1"/>
  <c r="P193" i="3" a="1"/>
  <c r="P193" i="3" s="1"/>
  <c r="R193" i="3" a="1"/>
  <c r="R193" i="3" s="1"/>
  <c r="S193" i="3" a="1"/>
  <c r="S193" i="3" s="1"/>
  <c r="Q193" i="3" a="1"/>
  <c r="Q193" i="3" s="1"/>
  <c r="L193" i="3" a="1"/>
  <c r="L193" i="3" s="1"/>
  <c r="T193" i="3" a="1"/>
  <c r="T193" i="3" s="1"/>
  <c r="Q30" i="3" a="1"/>
  <c r="Q30" i="3" s="1"/>
  <c r="T30" i="3" a="1"/>
  <c r="T30" i="3" s="1"/>
  <c r="R30" i="3" a="1"/>
  <c r="R30" i="3" s="1"/>
  <c r="L30" i="3" a="1"/>
  <c r="L30" i="3" s="1"/>
  <c r="K30" i="3" a="1"/>
  <c r="K30" i="3" s="1"/>
  <c r="P30" i="3" a="1"/>
  <c r="P30" i="3" s="1"/>
  <c r="O30" i="3" a="1"/>
  <c r="O30" i="3" s="1"/>
  <c r="S30" i="3" a="1"/>
  <c r="S30" i="3" s="1"/>
  <c r="U30" i="3" a="1"/>
  <c r="U30" i="3" s="1"/>
  <c r="U291" i="3" a="1"/>
  <c r="U291" i="3" s="1"/>
  <c r="R291" i="3" a="1"/>
  <c r="R291" i="3" s="1"/>
  <c r="L291" i="3" a="1"/>
  <c r="L291" i="3" s="1"/>
  <c r="P291" i="3" a="1"/>
  <c r="P291" i="3" s="1"/>
  <c r="T291" i="3" a="1"/>
  <c r="T291" i="3" s="1"/>
  <c r="K291" i="3" a="1"/>
  <c r="K291" i="3" s="1"/>
  <c r="O291" i="3" a="1"/>
  <c r="O291" i="3" s="1"/>
  <c r="S291" i="3" a="1"/>
  <c r="S291" i="3" s="1"/>
  <c r="S272" i="3" a="1"/>
  <c r="S272" i="3" s="1"/>
  <c r="U272" i="3" a="1"/>
  <c r="U272" i="3" s="1"/>
  <c r="L272" i="3" a="1"/>
  <c r="L272" i="3" s="1"/>
  <c r="T272" i="3" a="1"/>
  <c r="T272" i="3" s="1"/>
  <c r="K272" i="3" a="1"/>
  <c r="K272" i="3" s="1"/>
  <c r="P272" i="3" a="1"/>
  <c r="P272" i="3" s="1"/>
  <c r="R272" i="3" a="1"/>
  <c r="R272" i="3" s="1"/>
  <c r="O272" i="3" a="1"/>
  <c r="O272" i="3" s="1"/>
  <c r="Q272" i="3" a="1"/>
  <c r="Q272" i="3" s="1"/>
  <c r="T196" i="3"/>
  <c r="T279" i="3"/>
  <c r="T34" i="3"/>
  <c r="O183" i="3"/>
  <c r="O144" i="3"/>
  <c r="P303" i="3"/>
  <c r="O301" i="3"/>
  <c r="U196" i="3"/>
  <c r="Q196" i="3"/>
  <c r="O182" i="3"/>
  <c r="Q279" i="3"/>
  <c r="O279" i="3"/>
  <c r="P183" i="3"/>
  <c r="S34" i="3"/>
  <c r="L34" i="3"/>
  <c r="L183" i="3"/>
  <c r="S144" i="3"/>
  <c r="U144" i="3"/>
  <c r="O78" i="3"/>
  <c r="Q164" i="3"/>
  <c r="Q96" i="3"/>
  <c r="Q9" i="3"/>
  <c r="S164" i="3"/>
  <c r="P9" i="3"/>
  <c r="O278" i="3"/>
  <c r="T29" i="3"/>
  <c r="R278" i="3"/>
  <c r="R303" i="3"/>
  <c r="K303" i="3"/>
  <c r="L288" i="3"/>
  <c r="T288" i="3"/>
  <c r="O308" i="3"/>
  <c r="Q308" i="3"/>
  <c r="K301" i="3"/>
  <c r="O315" i="3"/>
  <c r="P287" i="3"/>
  <c r="S279" i="3"/>
  <c r="P278" i="3"/>
  <c r="L278" i="3"/>
  <c r="K308" i="3"/>
  <c r="O307" i="3"/>
  <c r="R279" i="3"/>
  <c r="U34" i="3"/>
  <c r="R183" i="3"/>
  <c r="T144" i="3"/>
  <c r="P144" i="3"/>
  <c r="L78" i="3"/>
  <c r="T164" i="3"/>
  <c r="R274" i="3"/>
  <c r="K29" i="3"/>
  <c r="S303" i="3"/>
  <c r="R288" i="3"/>
  <c r="T308" i="3"/>
  <c r="T301" i="3"/>
  <c r="S301" i="3"/>
  <c r="L315" i="3"/>
  <c r="K315" i="3"/>
  <c r="Q287" i="3"/>
  <c r="T287" i="3"/>
  <c r="T307" i="3"/>
  <c r="U182" i="3"/>
  <c r="T303" i="3"/>
  <c r="S288" i="3"/>
  <c r="S287" i="3"/>
  <c r="P196" i="3"/>
  <c r="L196" i="3"/>
  <c r="S182" i="3"/>
  <c r="P279" i="3"/>
  <c r="P78" i="3"/>
  <c r="K144" i="3"/>
  <c r="Q34" i="3"/>
  <c r="Q183" i="3"/>
  <c r="R144" i="3"/>
  <c r="Q78" i="3"/>
  <c r="P164" i="3"/>
  <c r="P274" i="3"/>
  <c r="T9" i="3"/>
  <c r="O9" i="3"/>
  <c r="O303" i="3"/>
  <c r="O288" i="3"/>
  <c r="P308" i="3"/>
  <c r="Q301" i="3"/>
  <c r="U301" i="3"/>
  <c r="T315" i="3"/>
  <c r="U315" i="3"/>
  <c r="R287" i="3"/>
  <c r="K287" i="3"/>
  <c r="S307" i="3"/>
  <c r="U307" i="3"/>
  <c r="R78" i="3"/>
  <c r="O164" i="3"/>
  <c r="K288" i="3"/>
  <c r="S308" i="3"/>
  <c r="P315" i="3"/>
  <c r="P182" i="3"/>
  <c r="L182" i="3"/>
  <c r="K196" i="3"/>
  <c r="R182" i="3"/>
  <c r="K279" i="3"/>
  <c r="P34" i="3"/>
  <c r="K183" i="3"/>
  <c r="Q144" i="3"/>
  <c r="U78" i="3"/>
  <c r="P96" i="3"/>
  <c r="U96" i="3"/>
  <c r="L164" i="3"/>
  <c r="Q278" i="3"/>
  <c r="U9" i="3"/>
  <c r="K274" i="3"/>
  <c r="Q303" i="3"/>
  <c r="Q288" i="3"/>
  <c r="L308" i="3"/>
  <c r="R301" i="3"/>
  <c r="P301" i="3"/>
  <c r="Q315" i="3"/>
  <c r="S315" i="3"/>
  <c r="O287" i="3"/>
  <c r="L287" i="3"/>
  <c r="U164" i="3"/>
  <c r="P307" i="3"/>
  <c r="R196" i="3"/>
  <c r="O34" i="3"/>
  <c r="Q29" i="3"/>
  <c r="U279" i="3"/>
  <c r="O196" i="3"/>
  <c r="S196" i="3"/>
  <c r="K182" i="3"/>
  <c r="Q182" i="3"/>
  <c r="L279" i="3"/>
  <c r="R34" i="3"/>
  <c r="K34" i="3"/>
  <c r="T183" i="3"/>
  <c r="L144" i="3"/>
  <c r="S78" i="3"/>
  <c r="T78" i="3"/>
  <c r="T96" i="3"/>
  <c r="R96" i="3"/>
  <c r="K96" i="3"/>
  <c r="S274" i="3"/>
  <c r="U278" i="3"/>
  <c r="U303" i="3"/>
  <c r="L303" i="3"/>
  <c r="U288" i="3"/>
  <c r="P288" i="3"/>
  <c r="R308" i="3"/>
  <c r="U308" i="3"/>
  <c r="L301" i="3"/>
  <c r="R315" i="3"/>
  <c r="U287" i="3"/>
  <c r="O96" i="3"/>
  <c r="R307" i="3"/>
  <c r="L307" i="3"/>
  <c r="R107" i="3"/>
  <c r="O107" i="3"/>
  <c r="U107" i="3"/>
  <c r="P225" i="3"/>
  <c r="Q107" i="3"/>
  <c r="R245" i="3"/>
  <c r="K180" i="3"/>
  <c r="R180" i="3"/>
  <c r="P180" i="3"/>
  <c r="L180" i="3"/>
  <c r="K225" i="3"/>
  <c r="R59" i="3"/>
  <c r="O180" i="3"/>
  <c r="R118" i="3"/>
  <c r="U225" i="3"/>
  <c r="T180" i="3"/>
  <c r="Q59" i="3"/>
  <c r="O245" i="3"/>
  <c r="U59" i="3"/>
  <c r="Q245" i="3"/>
  <c r="O57" i="3"/>
  <c r="O119" i="3"/>
  <c r="O225" i="3"/>
  <c r="R225" i="3"/>
  <c r="P245" i="3"/>
  <c r="L225" i="3"/>
  <c r="K245" i="3"/>
  <c r="U245" i="3"/>
  <c r="T57" i="3"/>
  <c r="Q235" i="3" a="1"/>
  <c r="O217" i="3" a="1"/>
  <c r="S128" i="3" a="1"/>
  <c r="U227" i="3" a="1"/>
  <c r="R148" i="3" a="1"/>
  <c r="T75" i="3" a="1"/>
  <c r="T261" i="3" a="1"/>
  <c r="O261" i="3" a="1"/>
  <c r="S35" i="3" a="1"/>
  <c r="O81" i="3" a="1"/>
  <c r="R39" i="3" a="1"/>
  <c r="Q39" i="3" a="1"/>
  <c r="L250" i="3" a="1"/>
  <c r="K250" i="3" a="1"/>
  <c r="S240" i="3" a="1"/>
  <c r="Q240" i="3" a="1"/>
  <c r="R130" i="3" a="1"/>
  <c r="P130" i="3" a="1"/>
  <c r="O186" i="3" a="1"/>
  <c r="S133" i="3" a="1"/>
  <c r="T133" i="3" a="1"/>
  <c r="S122" i="3" a="1"/>
  <c r="O244" i="3" a="1"/>
  <c r="L244" i="3" a="1"/>
  <c r="U222" i="3" a="1"/>
  <c r="Q65" i="3" a="1"/>
  <c r="R116" i="3" a="1"/>
  <c r="Q215" i="3" a="1"/>
  <c r="L215" i="3" a="1"/>
  <c r="T174" i="3" a="1"/>
  <c r="Q205" i="3" a="1"/>
  <c r="U205" i="3" a="1"/>
  <c r="T212" i="3" a="1"/>
  <c r="U94" i="3" a="1"/>
  <c r="R137" i="3" a="1"/>
  <c r="Q137" i="3" a="1"/>
  <c r="Q178" i="3" a="1"/>
  <c r="L178" i="3" a="1"/>
  <c r="L92" i="3" a="1"/>
  <c r="S169" i="3" a="1"/>
  <c r="L151" i="3" a="1"/>
  <c r="S151" i="3" a="1"/>
  <c r="O44" i="3" a="1"/>
  <c r="U216" i="3" a="1"/>
  <c r="K216" i="3" a="1"/>
  <c r="S260" i="3" a="1"/>
  <c r="Q260" i="3" a="1"/>
  <c r="U86" i="3" a="1"/>
  <c r="O86" i="3" a="1"/>
  <c r="L176" i="3" a="1"/>
  <c r="R139" i="3" a="1"/>
  <c r="Q139" i="3" a="1"/>
  <c r="L217" i="3" a="1"/>
  <c r="L95" i="3" a="1"/>
  <c r="S129" i="3" a="1"/>
  <c r="Q129" i="3" a="1"/>
  <c r="O66" i="3" a="1"/>
  <c r="U66" i="3" a="1"/>
  <c r="L67" i="3" a="1"/>
  <c r="S67" i="3" a="1"/>
  <c r="T177" i="3" a="1"/>
  <c r="T238" i="3" a="1"/>
  <c r="S238" i="3" a="1"/>
  <c r="S16" i="3" a="1"/>
  <c r="S170" i="3" a="1"/>
  <c r="T136" i="3" a="1"/>
  <c r="O136" i="3" a="1"/>
  <c r="T149" i="3" a="1"/>
  <c r="L231" i="3" a="1"/>
  <c r="K231" i="3" a="1"/>
  <c r="K155" i="3" a="1"/>
  <c r="S155" i="3" a="1"/>
  <c r="Q184" i="3" a="1"/>
  <c r="T101" i="3" a="1"/>
  <c r="O101" i="3" a="1"/>
  <c r="S109" i="3" a="1"/>
  <c r="U79" i="3" a="1"/>
  <c r="K108" i="3" a="1"/>
  <c r="R82" i="3" a="1"/>
  <c r="L82" i="3" a="1"/>
  <c r="S207" i="3" a="1"/>
  <c r="U114" i="3" a="1"/>
  <c r="Q172" i="3" a="1"/>
  <c r="U172" i="3" a="1"/>
  <c r="U214" i="3" a="1"/>
  <c r="P147" i="3" a="1"/>
  <c r="U147" i="3" a="1"/>
  <c r="S150" i="3" a="1"/>
  <c r="K150" i="3" a="1"/>
  <c r="S64" i="3" a="1"/>
  <c r="K64" i="3" a="1"/>
  <c r="L211" i="3" a="1"/>
  <c r="S171" i="3" a="1"/>
  <c r="P171" i="3" a="1"/>
  <c r="S237" i="3" a="1"/>
  <c r="L153" i="3" a="1"/>
  <c r="O235" i="3" a="1"/>
  <c r="S217" i="3" a="1"/>
  <c r="O227" i="3" a="1"/>
  <c r="Q148" i="3" a="1"/>
  <c r="K75" i="3" a="1"/>
  <c r="L261" i="3" a="1"/>
  <c r="R261" i="3" a="1"/>
  <c r="K35" i="3" a="1"/>
  <c r="Q81" i="3" a="1"/>
  <c r="S39" i="3" a="1"/>
  <c r="U39" i="3" a="1"/>
  <c r="O250" i="3" a="1"/>
  <c r="S250" i="3" a="1"/>
  <c r="O240" i="3" a="1"/>
  <c r="L240" i="3" a="1"/>
  <c r="Q130" i="3" a="1"/>
  <c r="R186" i="3" a="1"/>
  <c r="P186" i="3" a="1"/>
  <c r="P133" i="3" a="1"/>
  <c r="R122" i="3" a="1"/>
  <c r="K122" i="3" a="1"/>
  <c r="S245" i="3" a="1"/>
  <c r="Q244" i="3" a="1"/>
  <c r="U244" i="3" a="1"/>
  <c r="P222" i="3" a="1"/>
  <c r="L65" i="3" a="1"/>
  <c r="Q116" i="3" a="1"/>
  <c r="K215" i="3" a="1"/>
  <c r="S215" i="3" a="1"/>
  <c r="U174" i="3" a="1"/>
  <c r="P205" i="3" a="1"/>
  <c r="R205" i="3" a="1"/>
  <c r="R212" i="3" a="1"/>
  <c r="L94" i="3" a="1"/>
  <c r="O137" i="3" a="1"/>
  <c r="T178" i="3" a="1"/>
  <c r="Q92" i="3" a="1"/>
  <c r="T92" i="3" a="1"/>
  <c r="T169" i="3" a="1"/>
  <c r="L169" i="3" a="1"/>
  <c r="R151" i="3" a="1"/>
  <c r="S44" i="3" a="1"/>
  <c r="P44" i="3" a="1"/>
  <c r="S216" i="3" a="1"/>
  <c r="U260" i="3" a="1"/>
  <c r="R260" i="3" a="1"/>
  <c r="L86" i="3" a="1"/>
  <c r="R86" i="3" a="1"/>
  <c r="U176" i="3" a="1"/>
  <c r="T139" i="3" a="1"/>
  <c r="U139" i="3" a="1"/>
  <c r="R95" i="3" a="1"/>
  <c r="O95" i="3" a="1"/>
  <c r="R129" i="3" a="1"/>
  <c r="P66" i="3" a="1"/>
  <c r="P67" i="3" a="1"/>
  <c r="R177" i="3" a="1"/>
  <c r="P177" i="3" a="1"/>
  <c r="P238" i="3" a="1"/>
  <c r="Q16" i="3" a="1"/>
  <c r="L16" i="3" a="1"/>
  <c r="T170" i="3" a="1"/>
  <c r="R170" i="3" a="1"/>
  <c r="P136" i="3" a="1"/>
  <c r="O149" i="3" a="1"/>
  <c r="K149" i="3" a="1"/>
  <c r="O231" i="3" a="1"/>
  <c r="Q155" i="3" a="1"/>
  <c r="R184" i="3" a="1"/>
  <c r="P184" i="3" a="1"/>
  <c r="S101" i="3" a="1"/>
  <c r="T109" i="3" a="1"/>
  <c r="U109" i="3" a="1"/>
  <c r="S79" i="3" a="1"/>
  <c r="O79" i="3" a="1"/>
  <c r="R108" i="3" a="1"/>
  <c r="U82" i="3" a="1"/>
  <c r="T82" i="3" a="1"/>
  <c r="O207" i="3" a="1"/>
  <c r="R114" i="3" a="1"/>
  <c r="L172" i="3" a="1"/>
  <c r="S172" i="3" a="1"/>
  <c r="P214" i="3" a="1"/>
  <c r="L147" i="3" a="1"/>
  <c r="L150" i="3" a="1"/>
  <c r="P227" i="3" a="1"/>
  <c r="L64" i="3" a="1"/>
  <c r="O64" i="3" a="1"/>
  <c r="R211" i="3" a="1"/>
  <c r="R171" i="3" a="1"/>
  <c r="U171" i="3" a="1"/>
  <c r="T237" i="3" a="1"/>
  <c r="U153" i="3" a="1"/>
  <c r="O154" i="3" a="1"/>
  <c r="K223" i="3" a="1"/>
  <c r="Q223" i="3" a="1"/>
  <c r="L118" i="3" a="1"/>
  <c r="L22" i="3" a="1"/>
  <c r="R22" i="3" a="1"/>
  <c r="Q74" i="3" a="1"/>
  <c r="K125" i="3" a="1"/>
  <c r="T125" i="3" a="1"/>
  <c r="S249" i="3" a="1"/>
  <c r="R23" i="3" a="1"/>
  <c r="K23" i="3" a="1"/>
  <c r="T191" i="3" a="1"/>
  <c r="U191" i="3" a="1"/>
  <c r="K195" i="3" a="1"/>
  <c r="R195" i="3" a="1"/>
  <c r="K77" i="3" a="1"/>
  <c r="L77" i="3" a="1"/>
  <c r="L84" i="3" a="1"/>
  <c r="P84" i="3" a="1"/>
  <c r="K4" i="3" a="1"/>
  <c r="P132" i="3" a="1"/>
  <c r="S143" i="3" a="1"/>
  <c r="T98" i="3" a="1"/>
  <c r="L98" i="3" a="1"/>
  <c r="R17" i="3" a="1"/>
  <c r="U246" i="3" a="1"/>
  <c r="O246" i="3" a="1"/>
  <c r="O111" i="3" a="1"/>
  <c r="K235" i="3" a="1"/>
  <c r="K217" i="3" a="1"/>
  <c r="T227" i="3" a="1"/>
  <c r="S148" i="3" a="1"/>
  <c r="P75" i="3" a="1"/>
  <c r="R75" i="3" a="1"/>
  <c r="K261" i="3" a="1"/>
  <c r="Q35" i="3" a="1"/>
  <c r="L35" i="3" a="1"/>
  <c r="P81" i="3" a="1"/>
  <c r="U81" i="3" a="1"/>
  <c r="T39" i="3" a="1"/>
  <c r="P250" i="3" a="1"/>
  <c r="K240" i="3" a="1"/>
  <c r="T148" i="3" a="1"/>
  <c r="K130" i="3" a="1"/>
  <c r="T186" i="3" a="1"/>
  <c r="U186" i="3" a="1"/>
  <c r="U133" i="3" a="1"/>
  <c r="P122" i="3" a="1"/>
  <c r="O122" i="3" a="1"/>
  <c r="T245" i="3" a="1"/>
  <c r="P244" i="3" a="1"/>
  <c r="R244" i="3" a="1"/>
  <c r="K222" i="3" a="1"/>
  <c r="S65" i="3" a="1"/>
  <c r="K116" i="3" a="1"/>
  <c r="T215" i="3" a="1"/>
  <c r="U215" i="3" a="1"/>
  <c r="P174" i="3" a="1"/>
  <c r="T205" i="3" a="1"/>
  <c r="S212" i="3" a="1"/>
  <c r="O212" i="3" a="1"/>
  <c r="T94" i="3" a="1"/>
  <c r="S94" i="3" a="1"/>
  <c r="U137" i="3" a="1"/>
  <c r="U178" i="3" a="1"/>
  <c r="O92" i="3" a="1"/>
  <c r="U92" i="3" a="1"/>
  <c r="R169" i="3" a="1"/>
  <c r="U169" i="3" a="1"/>
  <c r="O151" i="3" a="1"/>
  <c r="U44" i="3" a="1"/>
  <c r="T44" i="3" a="1"/>
  <c r="R216" i="3" a="1"/>
  <c r="T260" i="3" a="1"/>
  <c r="S86" i="3" a="1"/>
  <c r="T176" i="3" a="1"/>
  <c r="S176" i="3" a="1"/>
  <c r="K139" i="3" a="1"/>
  <c r="K95" i="3" a="1"/>
  <c r="Q95" i="3" a="1"/>
  <c r="K129" i="3" a="1"/>
  <c r="S66" i="3" a="1"/>
  <c r="Q67" i="3" a="1"/>
  <c r="Q177" i="3" a="1"/>
  <c r="O177" i="3" a="1"/>
  <c r="R238" i="3" a="1"/>
  <c r="K16" i="3" a="1"/>
  <c r="U16" i="3" a="1"/>
  <c r="K170" i="3" a="1"/>
  <c r="U170" i="3" a="1"/>
  <c r="S136" i="3" a="1"/>
  <c r="R149" i="3" a="1"/>
  <c r="Q149" i="3" a="1"/>
  <c r="T231" i="3" a="1"/>
  <c r="O155" i="3" a="1"/>
  <c r="L184" i="3" a="1"/>
  <c r="K184" i="3" a="1"/>
  <c r="U101" i="3" a="1"/>
  <c r="P109" i="3" a="1"/>
  <c r="Q109" i="3" a="1"/>
  <c r="R79" i="3" a="1"/>
  <c r="T79" i="3" a="1"/>
  <c r="P108" i="3" a="1"/>
  <c r="K82" i="3" a="1"/>
  <c r="Q207" i="3" a="1"/>
  <c r="K207" i="3" a="1"/>
  <c r="L114" i="3" a="1"/>
  <c r="T172" i="3" a="1"/>
  <c r="T214" i="3" a="1"/>
  <c r="L214" i="3" a="1"/>
  <c r="R147" i="3" a="1"/>
  <c r="O150" i="3" a="1"/>
  <c r="Q227" i="3" a="1"/>
  <c r="U64" i="3" a="1"/>
  <c r="P64" i="3" a="1"/>
  <c r="U211" i="3" a="1"/>
  <c r="L171" i="3" a="1"/>
  <c r="O171" i="3" a="1"/>
  <c r="P237" i="3" a="1"/>
  <c r="O153" i="3" a="1"/>
  <c r="T154" i="3" a="1"/>
  <c r="P223" i="3" a="1"/>
  <c r="U223" i="3" a="1"/>
  <c r="P118" i="3" a="1"/>
  <c r="S22" i="3" a="1"/>
  <c r="U74" i="3" a="1"/>
  <c r="T74" i="3" a="1"/>
  <c r="U125" i="3" a="1"/>
  <c r="Q249" i="3" a="1"/>
  <c r="K249" i="3" a="1"/>
  <c r="O23" i="3" a="1"/>
  <c r="K191" i="3" a="1"/>
  <c r="T195" i="3" a="1"/>
  <c r="U77" i="3" a="1"/>
  <c r="K84" i="3" a="1"/>
  <c r="U4" i="3" a="1"/>
  <c r="R4" i="3" a="1"/>
  <c r="L132" i="3" a="1"/>
  <c r="K132" i="3" a="1"/>
  <c r="Q143" i="3" a="1"/>
  <c r="K143" i="3" a="1"/>
  <c r="O98" i="3" a="1"/>
  <c r="Q17" i="3" a="1"/>
  <c r="L17" i="3" a="1"/>
  <c r="S246" i="3" a="1"/>
  <c r="S111" i="3" a="1"/>
  <c r="U111" i="3" a="1"/>
  <c r="U235" i="3" a="1"/>
  <c r="P217" i="3" a="1"/>
  <c r="U217" i="3" a="1"/>
  <c r="S227" i="3" a="1"/>
  <c r="Q173" i="3" a="1"/>
  <c r="U148" i="3" a="1"/>
  <c r="Q75" i="3" a="1"/>
  <c r="S75" i="3" a="1"/>
  <c r="P261" i="3" a="1"/>
  <c r="U35" i="3" a="1"/>
  <c r="R35" i="3" a="1"/>
  <c r="T81" i="3" a="1"/>
  <c r="K81" i="3" a="1"/>
  <c r="K39" i="3" a="1"/>
  <c r="T250" i="3" a="1"/>
  <c r="U240" i="3" a="1"/>
  <c r="L148" i="3" a="1"/>
  <c r="L130" i="3" a="1"/>
  <c r="S186" i="3" a="1"/>
  <c r="K186" i="3" a="1"/>
  <c r="K133" i="3" a="1"/>
  <c r="U122" i="3" a="1"/>
  <c r="L122" i="3" a="1"/>
  <c r="T244" i="3" a="1"/>
  <c r="S222" i="3" a="1"/>
  <c r="Q222" i="3" a="1"/>
  <c r="O65" i="3" a="1"/>
  <c r="K65" i="3" a="1"/>
  <c r="P116" i="3" a="1"/>
  <c r="U116" i="3" a="1"/>
  <c r="O215" i="3" a="1"/>
  <c r="S174" i="3" a="1"/>
  <c r="K174" i="3" a="1"/>
  <c r="S205" i="3" a="1"/>
  <c r="P212" i="3" a="1"/>
  <c r="Q212" i="3" a="1"/>
  <c r="R94" i="3" a="1"/>
  <c r="O94" i="3" a="1"/>
  <c r="K137" i="3" a="1"/>
  <c r="O178" i="3" a="1"/>
  <c r="S92" i="3" a="1"/>
  <c r="K92" i="3" a="1"/>
  <c r="K169" i="3" a="1"/>
  <c r="Q169" i="3" a="1"/>
  <c r="Q151" i="3" a="1"/>
  <c r="L44" i="3" a="1"/>
  <c r="Q44" i="3" a="1"/>
  <c r="T216" i="3" a="1"/>
  <c r="T235" i="3" a="1"/>
  <c r="O260" i="3" a="1"/>
  <c r="T86" i="3" a="1"/>
  <c r="O176" i="3" a="1"/>
  <c r="K176" i="3" a="1"/>
  <c r="O139" i="3" a="1"/>
  <c r="T95" i="3" a="1"/>
  <c r="U95" i="3" a="1"/>
  <c r="P129" i="3" a="1"/>
  <c r="R66" i="3" a="1"/>
  <c r="O67" i="3" a="1"/>
  <c r="S177" i="3" a="1"/>
  <c r="L177" i="3" a="1"/>
  <c r="L238" i="3" a="1"/>
  <c r="P16" i="3" a="1"/>
  <c r="O16" i="3" a="1"/>
  <c r="Q170" i="3" a="1"/>
  <c r="P170" i="3" a="1"/>
  <c r="Q136" i="3" a="1"/>
  <c r="L149" i="3" a="1"/>
  <c r="S149" i="3" a="1"/>
  <c r="U231" i="3" a="1"/>
  <c r="U155" i="3" a="1"/>
  <c r="U184" i="3" a="1"/>
  <c r="O184" i="3" a="1"/>
  <c r="P101" i="3" a="1"/>
  <c r="L109" i="3" a="1"/>
  <c r="R109" i="3" a="1"/>
  <c r="P79" i="3" a="1"/>
  <c r="L79" i="3" a="1"/>
  <c r="Q108" i="3" a="1"/>
  <c r="S82" i="3" a="1"/>
  <c r="L207" i="3" a="1"/>
  <c r="U207" i="3" a="1"/>
  <c r="P114" i="3" a="1"/>
  <c r="O172" i="3" a="1"/>
  <c r="O214" i="3" a="1"/>
  <c r="S214" i="3" a="1"/>
  <c r="S147" i="3" a="1"/>
  <c r="R150" i="3" a="1"/>
  <c r="T64" i="3" a="1"/>
  <c r="P211" i="3" a="1"/>
  <c r="T211" i="3" a="1"/>
  <c r="T171" i="3" a="1"/>
  <c r="L237" i="3" a="1"/>
  <c r="U237" i="3" a="1"/>
  <c r="S153" i="3" a="1"/>
  <c r="R153" i="3" a="1"/>
  <c r="U154" i="3" a="1"/>
  <c r="K154" i="3" a="1"/>
  <c r="O223" i="3" a="1"/>
  <c r="K118" i="3" a="1"/>
  <c r="Q118" i="3" a="1"/>
  <c r="K22" i="3" a="1"/>
  <c r="K74" i="3" a="1"/>
  <c r="L74" i="3" a="1"/>
  <c r="Q125" i="3" a="1"/>
  <c r="L249" i="3" a="1"/>
  <c r="P249" i="3" a="1"/>
  <c r="L23" i="3" a="1"/>
  <c r="Q191" i="3" a="1"/>
  <c r="U195" i="3" a="1"/>
  <c r="T77" i="3" a="1"/>
  <c r="T84" i="3" a="1"/>
  <c r="P4" i="3" a="1"/>
  <c r="T4" i="3" a="1"/>
  <c r="U132" i="3" a="1"/>
  <c r="O132" i="3" a="1"/>
  <c r="P143" i="3" a="1"/>
  <c r="O143" i="3" a="1"/>
  <c r="K98" i="3" a="1"/>
  <c r="K17" i="3" a="1"/>
  <c r="T17" i="3" a="1"/>
  <c r="Q246" i="3" a="1"/>
  <c r="P111" i="3" a="1"/>
  <c r="P235" i="3" a="1"/>
  <c r="R217" i="3" a="1"/>
  <c r="Q128" i="3" a="1"/>
  <c r="R227" i="3" a="1"/>
  <c r="L227" i="3" a="1"/>
  <c r="R173" i="3" a="1"/>
  <c r="K148" i="3" a="1"/>
  <c r="L75" i="3" a="1"/>
  <c r="U75" i="3" a="1"/>
  <c r="S261" i="3" a="1"/>
  <c r="O35" i="3" a="1"/>
  <c r="T128" i="3" a="1"/>
  <c r="O39" i="3" a="1"/>
  <c r="Q250" i="3" a="1"/>
  <c r="T240" i="3" a="1"/>
  <c r="O130" i="3" a="1"/>
  <c r="R133" i="3" a="1"/>
  <c r="L222" i="3" a="1"/>
  <c r="U65" i="3" a="1"/>
  <c r="R215" i="3" a="1"/>
  <c r="O205" i="3" a="1"/>
  <c r="P178" i="3" a="1"/>
  <c r="O169" i="3" a="1"/>
  <c r="R44" i="3" a="1"/>
  <c r="R176" i="3" a="1"/>
  <c r="L129" i="3" a="1"/>
  <c r="U177" i="3" a="1"/>
  <c r="R16" i="3" a="1"/>
  <c r="O170" i="3" a="1"/>
  <c r="P149" i="3" a="1"/>
  <c r="S184" i="3" a="1"/>
  <c r="K109" i="3" a="1"/>
  <c r="K79" i="3" a="1"/>
  <c r="O82" i="3" a="1"/>
  <c r="K172" i="3" a="1"/>
  <c r="O147" i="3" a="1"/>
  <c r="Q150" i="3" a="1"/>
  <c r="K211" i="3" a="1"/>
  <c r="R237" i="3" a="1"/>
  <c r="Q153" i="3" a="1"/>
  <c r="L154" i="3" a="1"/>
  <c r="L223" i="3" a="1"/>
  <c r="P22" i="3" a="1"/>
  <c r="P74" i="3" a="1"/>
  <c r="L125" i="3" a="1"/>
  <c r="P23" i="3" a="1"/>
  <c r="O191" i="3" a="1"/>
  <c r="O195" i="3" a="1"/>
  <c r="Q77" i="3" a="1"/>
  <c r="U84" i="3" a="1"/>
  <c r="U143" i="3" a="1"/>
  <c r="O17" i="3" a="1"/>
  <c r="L246" i="3" a="1"/>
  <c r="Q111" i="3" a="1"/>
  <c r="T48" i="3" a="1"/>
  <c r="O48" i="3" a="1"/>
  <c r="T158" i="3" a="1"/>
  <c r="S158" i="3" a="1"/>
  <c r="T188" i="3" a="1"/>
  <c r="K146" i="3" a="1"/>
  <c r="R146" i="3" a="1"/>
  <c r="R120" i="3" a="1"/>
  <c r="T100" i="3" a="1"/>
  <c r="T25" i="3" a="1"/>
  <c r="Q25" i="3" a="1"/>
  <c r="L57" i="3" a="1"/>
  <c r="S198" i="3" a="1"/>
  <c r="P198" i="3" a="1"/>
  <c r="U236" i="3" a="1"/>
  <c r="S221" i="3" a="1"/>
  <c r="R234" i="3" a="1"/>
  <c r="R93" i="3" a="1"/>
  <c r="R233" i="3" a="1"/>
  <c r="L233" i="3" a="1"/>
  <c r="R163" i="3" a="1"/>
  <c r="P163" i="3" a="1"/>
  <c r="S53" i="3" a="1"/>
  <c r="L173" i="3" a="1"/>
  <c r="S69" i="3" a="1"/>
  <c r="K255" i="3" a="1"/>
  <c r="L3" i="3" a="1"/>
  <c r="L163" i="3" a="1"/>
  <c r="U69" i="3" a="1"/>
  <c r="R3" i="3" a="1"/>
  <c r="S231" i="3" a="1"/>
  <c r="S114" i="3" a="1"/>
  <c r="Q211" i="3" a="1"/>
  <c r="T118" i="3" a="1"/>
  <c r="R132" i="3" a="1"/>
  <c r="K48" i="3" a="1"/>
  <c r="Q188" i="3" a="1"/>
  <c r="K198" i="3" a="1"/>
  <c r="L221" i="3" a="1"/>
  <c r="T163" i="3" a="1"/>
  <c r="O3" i="3" a="1"/>
  <c r="P35" i="3" a="1"/>
  <c r="O133" i="3" a="1"/>
  <c r="P215" i="3" a="1"/>
  <c r="K178" i="3" a="1"/>
  <c r="P139" i="3" a="1"/>
  <c r="P82" i="3" a="1"/>
  <c r="S211" i="3" a="1"/>
  <c r="S154" i="3" a="1"/>
  <c r="U249" i="3" a="1"/>
  <c r="R48" i="3" a="1"/>
  <c r="L158" i="3" a="1"/>
  <c r="L120" i="3" a="1"/>
  <c r="K25" i="3" a="1"/>
  <c r="Q236" i="3" a="1"/>
  <c r="Q93" i="3" a="1"/>
  <c r="T173" i="3" a="1"/>
  <c r="O75" i="3" a="1"/>
  <c r="P39" i="3" a="1"/>
  <c r="R250" i="3" a="1"/>
  <c r="R240" i="3" a="1"/>
  <c r="Q186" i="3" a="1"/>
  <c r="Q122" i="3" a="1"/>
  <c r="T222" i="3" a="1"/>
  <c r="P65" i="3" a="1"/>
  <c r="O116" i="3" a="1"/>
  <c r="R174" i="3" a="1"/>
  <c r="L212" i="3" a="1"/>
  <c r="Q94" i="3" a="1"/>
  <c r="P92" i="3" a="1"/>
  <c r="P169" i="3" a="1"/>
  <c r="K44" i="3" a="1"/>
  <c r="P176" i="3" a="1"/>
  <c r="O129" i="3" a="1"/>
  <c r="T66" i="3" a="1"/>
  <c r="K177" i="3" a="1"/>
  <c r="T16" i="3" a="1"/>
  <c r="L136" i="3" a="1"/>
  <c r="P231" i="3" a="1"/>
  <c r="T184" i="3" a="1"/>
  <c r="O109" i="3" a="1"/>
  <c r="P207" i="3" a="1"/>
  <c r="R172" i="3" a="1"/>
  <c r="T147" i="3" a="1"/>
  <c r="T150" i="3" a="1"/>
  <c r="Q64" i="3" a="1"/>
  <c r="K171" i="3" a="1"/>
  <c r="T153" i="3" a="1"/>
  <c r="Q154" i="3" a="1"/>
  <c r="R223" i="3" a="1"/>
  <c r="U22" i="3" a="1"/>
  <c r="R74" i="3" a="1"/>
  <c r="S125" i="3" a="1"/>
  <c r="S23" i="3" a="1"/>
  <c r="S195" i="3" a="1"/>
  <c r="R77" i="3" a="1"/>
  <c r="S4" i="3" a="1"/>
  <c r="U98" i="3" a="1"/>
  <c r="S17" i="3" a="1"/>
  <c r="R246" i="3" a="1"/>
  <c r="K111" i="3" a="1"/>
  <c r="L48" i="3" a="1"/>
  <c r="P48" i="3" a="1"/>
  <c r="P158" i="3" a="1"/>
  <c r="O158" i="3" a="1"/>
  <c r="S188" i="3" a="1"/>
  <c r="T146" i="3" a="1"/>
  <c r="P146" i="3" a="1"/>
  <c r="T120" i="3" a="1"/>
  <c r="S100" i="3" a="1"/>
  <c r="O25" i="3" a="1"/>
  <c r="P25" i="3" a="1"/>
  <c r="K57" i="3" a="1"/>
  <c r="Q198" i="3" a="1"/>
  <c r="U198" i="3" a="1"/>
  <c r="O236" i="3" a="1"/>
  <c r="O221" i="3" a="1"/>
  <c r="O234" i="3" a="1"/>
  <c r="S93" i="3" a="1"/>
  <c r="O233" i="3" a="1"/>
  <c r="U233" i="3" a="1"/>
  <c r="K163" i="3" a="1"/>
  <c r="U53" i="3" a="1"/>
  <c r="O173" i="3" a="1"/>
  <c r="O255" i="3" a="1"/>
  <c r="T3" i="3" a="1"/>
  <c r="T223" i="3" a="1"/>
  <c r="T23" i="3" a="1"/>
  <c r="P77" i="3" a="1"/>
  <c r="R98" i="3" a="1"/>
  <c r="L111" i="3" a="1"/>
  <c r="Q158" i="3" a="1"/>
  <c r="O146" i="3" a="1"/>
  <c r="P100" i="3" a="1"/>
  <c r="T93" i="3" a="1"/>
  <c r="P173" i="3" a="1"/>
  <c r="P137" i="3" a="1"/>
  <c r="P86" i="3" a="1"/>
  <c r="U149" i="3" a="1"/>
  <c r="O114" i="3" a="1"/>
  <c r="K214" i="3" a="1"/>
  <c r="K147" i="3" a="1"/>
  <c r="P153" i="3" a="1"/>
  <c r="O125" i="3" a="1"/>
  <c r="R143" i="3" a="1"/>
  <c r="R111" i="3" a="1"/>
  <c r="U146" i="3" a="1"/>
  <c r="R100" i="3" a="1"/>
  <c r="R57" i="3" a="1"/>
  <c r="T236" i="3" a="1"/>
  <c r="K233" i="3" a="1"/>
  <c r="P53" i="3" a="1"/>
  <c r="Q3" i="3" a="1"/>
  <c r="U261" i="3" a="1"/>
  <c r="L39" i="3" a="1"/>
  <c r="U250" i="3" a="1"/>
  <c r="P240" i="3" a="1"/>
  <c r="L186" i="3" a="1"/>
  <c r="T122" i="3" a="1"/>
  <c r="O222" i="3" a="1"/>
  <c r="T65" i="3" a="1"/>
  <c r="S116" i="3" a="1"/>
  <c r="O174" i="3" a="1"/>
  <c r="K212" i="3" a="1"/>
  <c r="K94" i="3" a="1"/>
  <c r="L137" i="3" a="1"/>
  <c r="R92" i="3" a="1"/>
  <c r="P151" i="3" a="1"/>
  <c r="Q216" i="3" a="1"/>
  <c r="L235" i="3" a="1"/>
  <c r="Q176" i="3" a="1"/>
  <c r="T129" i="3" a="1"/>
  <c r="Q66" i="3" a="1"/>
  <c r="T67" i="3" a="1"/>
  <c r="U238" i="3" a="1"/>
  <c r="U136" i="3" a="1"/>
  <c r="Q231" i="3" a="1"/>
  <c r="P155" i="3" a="1"/>
  <c r="K101" i="3" a="1"/>
  <c r="T108" i="3" a="1"/>
  <c r="T207" i="3" a="1"/>
  <c r="P172" i="3" a="1"/>
  <c r="Q147" i="3" a="1"/>
  <c r="P150" i="3" a="1"/>
  <c r="R64" i="3" a="1"/>
  <c r="Q171" i="3" a="1"/>
  <c r="R154" i="3" a="1"/>
  <c r="U118" i="3" a="1"/>
  <c r="T22" i="3" a="1"/>
  <c r="O74" i="3" a="1"/>
  <c r="T249" i="3" a="1"/>
  <c r="U23" i="3" a="1"/>
  <c r="S191" i="3" a="1"/>
  <c r="P195" i="3" a="1"/>
  <c r="O77" i="3" a="1"/>
  <c r="O84" i="3" a="1"/>
  <c r="O4" i="3" a="1"/>
  <c r="Q132" i="3" a="1"/>
  <c r="Q98" i="3" a="1"/>
  <c r="U17" i="3" a="1"/>
  <c r="P246" i="3" a="1"/>
  <c r="S48" i="3" a="1"/>
  <c r="R158" i="3" a="1"/>
  <c r="U188" i="3" a="1"/>
  <c r="O188" i="3" a="1"/>
  <c r="L146" i="3" a="1"/>
  <c r="Q120" i="3" a="1"/>
  <c r="U120" i="3" a="1"/>
  <c r="U100" i="3" a="1"/>
  <c r="Q100" i="3" a="1"/>
  <c r="R25" i="3" a="1"/>
  <c r="S57" i="3" a="1"/>
  <c r="L198" i="3" a="1"/>
  <c r="R198" i="3" a="1"/>
  <c r="L236" i="3" a="1"/>
  <c r="R221" i="3" a="1"/>
  <c r="P221" i="3" a="1"/>
  <c r="L234" i="3" a="1"/>
  <c r="S234" i="3" a="1"/>
  <c r="K93" i="3" a="1"/>
  <c r="P93" i="3" a="1"/>
  <c r="Q233" i="3" a="1"/>
  <c r="Q163" i="3" a="1"/>
  <c r="O53" i="3" a="1"/>
  <c r="L53" i="3" a="1"/>
  <c r="S173" i="3" a="1"/>
  <c r="K69" i="3" a="1"/>
  <c r="O69" i="3" a="1"/>
  <c r="S255" i="3" a="1"/>
  <c r="K3" i="3" a="1"/>
  <c r="U3" i="3" a="1"/>
  <c r="U151" i="3" a="1"/>
  <c r="S110" i="3" a="1"/>
  <c r="K260" i="3" a="1"/>
  <c r="S95" i="3" a="1"/>
  <c r="K238" i="3" a="1"/>
  <c r="T155" i="3" a="1"/>
  <c r="Q82" i="3" a="1"/>
  <c r="Q214" i="3" a="1"/>
  <c r="K237" i="3" a="1"/>
  <c r="R125" i="3" a="1"/>
  <c r="L195" i="3" a="1"/>
  <c r="O120" i="3" a="1"/>
  <c r="L25" i="3" a="1"/>
  <c r="U57" i="3" a="1"/>
  <c r="T234" i="3" a="1"/>
  <c r="T233" i="3" a="1"/>
  <c r="T53" i="3" a="1"/>
  <c r="L69" i="3" a="1"/>
  <c r="S130" i="3" a="1"/>
  <c r="R222" i="3" a="1"/>
  <c r="T151" i="3" a="1"/>
  <c r="O238" i="3" a="1"/>
  <c r="Q79" i="3" a="1"/>
  <c r="S118" i="3" a="1"/>
  <c r="Q195" i="3" a="1"/>
  <c r="R84" i="3" a="1"/>
  <c r="S132" i="3" a="1"/>
  <c r="T246" i="3" a="1"/>
  <c r="Q48" i="3" a="1"/>
  <c r="L188" i="3" a="1"/>
  <c r="Q69" i="3" a="1"/>
  <c r="Q261" i="3" a="1"/>
  <c r="L81" i="3" a="1"/>
  <c r="T130" i="3" a="1"/>
  <c r="L133" i="3" a="1"/>
  <c r="K244" i="3" a="1"/>
  <c r="R65" i="3" a="1"/>
  <c r="T116" i="3" a="1"/>
  <c r="L174" i="3" a="1"/>
  <c r="U212" i="3" a="1"/>
  <c r="P94" i="3" a="1"/>
  <c r="S137" i="3" a="1"/>
  <c r="S178" i="3" a="1"/>
  <c r="K151" i="3" a="1"/>
  <c r="P216" i="3" a="1"/>
  <c r="L110" i="3" a="1"/>
  <c r="L260" i="3" a="1"/>
  <c r="Q86" i="3" a="1"/>
  <c r="S139" i="3" a="1"/>
  <c r="Q217" i="3" a="1"/>
  <c r="U129" i="3" a="1"/>
  <c r="K66" i="3" a="1"/>
  <c r="K67" i="3" a="1"/>
  <c r="Q238" i="3" a="1"/>
  <c r="K136" i="3" a="1"/>
  <c r="R231" i="3" a="1"/>
  <c r="R155" i="3" a="1"/>
  <c r="L101" i="3" a="1"/>
  <c r="L108" i="3" a="1"/>
  <c r="R207" i="3" a="1"/>
  <c r="R214" i="3" a="1"/>
  <c r="U150" i="3" a="1"/>
  <c r="O211" i="3" a="1"/>
  <c r="Q237" i="3" a="1"/>
  <c r="P154" i="3" a="1"/>
  <c r="O118" i="3" a="1"/>
  <c r="O22" i="3" a="1"/>
  <c r="P125" i="3" a="1"/>
  <c r="R249" i="3" a="1"/>
  <c r="Q23" i="3" a="1"/>
  <c r="P191" i="3" a="1"/>
  <c r="S77" i="3" a="1"/>
  <c r="S84" i="3" a="1"/>
  <c r="L4" i="3" a="1"/>
  <c r="T132" i="3" a="1"/>
  <c r="T143" i="3" a="1"/>
  <c r="S98" i="3" a="1"/>
  <c r="P17" i="3" a="1"/>
  <c r="T111" i="3" a="1"/>
  <c r="U48" i="3" a="1"/>
  <c r="K158" i="3" a="1"/>
  <c r="P188" i="3" a="1"/>
  <c r="K188" i="3" a="1"/>
  <c r="S146" i="3" a="1"/>
  <c r="S120" i="3" a="1"/>
  <c r="K120" i="3" a="1"/>
  <c r="L100" i="3" a="1"/>
  <c r="O100" i="3" a="1"/>
  <c r="U25" i="3" a="1"/>
  <c r="Q57" i="3" a="1"/>
  <c r="O198" i="3" a="1"/>
  <c r="R236" i="3" a="1"/>
  <c r="S236" i="3" a="1"/>
  <c r="Q221" i="3" a="1"/>
  <c r="K221" i="3" a="1"/>
  <c r="P234" i="3" a="1"/>
  <c r="Q234" i="3" a="1"/>
  <c r="L93" i="3" a="1"/>
  <c r="O93" i="3" a="1"/>
  <c r="P233" i="3" a="1"/>
  <c r="U163" i="3" a="1"/>
  <c r="K53" i="3" a="1"/>
  <c r="Q53" i="3" a="1"/>
  <c r="K173" i="3" a="1"/>
  <c r="T69" i="3" a="1"/>
  <c r="R69" i="3" a="1"/>
  <c r="Q255" i="3" a="1"/>
  <c r="S3" i="3" a="1"/>
  <c r="P3" i="3" a="1"/>
  <c r="R178" i="3" a="1"/>
  <c r="L139" i="3" a="1"/>
  <c r="R67" i="3" a="1"/>
  <c r="R136" i="3" a="1"/>
  <c r="K153" i="3" a="1"/>
  <c r="Q22" i="3" a="1"/>
  <c r="R191" i="3" a="1"/>
  <c r="Q4" i="3" a="1"/>
  <c r="L143" i="3" a="1"/>
  <c r="R188" i="3" a="1"/>
  <c r="K100" i="3" a="1"/>
  <c r="P236" i="3" a="1"/>
  <c r="U221" i="3" a="1"/>
  <c r="U234" i="3" a="1"/>
  <c r="U93" i="3" a="1"/>
  <c r="R53" i="3" a="1"/>
  <c r="P69" i="3" a="1"/>
  <c r="T217" i="3" a="1"/>
  <c r="S81" i="3" a="1"/>
  <c r="K205" i="3" a="1"/>
  <c r="P260" i="3" a="1"/>
  <c r="U67" i="3" a="1"/>
  <c r="L155" i="3" a="1"/>
  <c r="O237" i="3" a="1"/>
  <c r="S223" i="3" a="1"/>
  <c r="L191" i="3" a="1"/>
  <c r="P98" i="3" a="1"/>
  <c r="Q146" i="3" a="1"/>
  <c r="S25" i="3" a="1"/>
  <c r="T198" i="3" a="1"/>
  <c r="T221" i="3" a="1"/>
  <c r="K234" i="3" a="1"/>
  <c r="S233" i="3" a="1"/>
  <c r="O163" i="3" a="1"/>
  <c r="U173" i="3" a="1"/>
  <c r="S235" i="3" a="1"/>
  <c r="K227" i="3" a="1"/>
  <c r="P148" i="3" a="1"/>
  <c r="T35" i="3" a="1"/>
  <c r="R81" i="3" a="1"/>
  <c r="U130" i="3" a="1"/>
  <c r="Q133" i="3" a="1"/>
  <c r="S244" i="3" a="1"/>
  <c r="L116" i="3" a="1"/>
  <c r="Q174" i="3" a="1"/>
  <c r="L205" i="3" a="1"/>
  <c r="T137" i="3" a="1"/>
  <c r="L216" i="3" a="1"/>
  <c r="K86" i="3" a="1"/>
  <c r="L66" i="3" a="1"/>
  <c r="Q101" i="3" a="1"/>
  <c r="O249" i="3" a="1"/>
  <c r="Q84" i="3" a="1"/>
  <c r="K246" i="3" a="1"/>
  <c r="P120" i="3" a="1"/>
  <c r="K236" i="3" a="1"/>
  <c r="O216" i="3" a="1"/>
  <c r="P95" i="3" a="1"/>
  <c r="L170" i="3" a="1"/>
  <c r="R101" i="3" a="1"/>
  <c r="S74" i="3" a="1"/>
  <c r="U158" i="3" a="1"/>
  <c r="P57" i="3" a="1"/>
  <c r="S163" i="3" a="1"/>
  <c r="U255" i="3" a="1"/>
  <c r="Q307" i="3" a="1"/>
  <c r="R152" i="3" a="1"/>
  <c r="Q152" i="3" a="1"/>
  <c r="S197" i="3" a="1"/>
  <c r="L12" i="3" a="1"/>
  <c r="R254" i="3" a="1"/>
  <c r="S254" i="3" a="1"/>
  <c r="U55" i="3" a="1"/>
  <c r="P55" i="3" a="1"/>
  <c r="O168" i="3" a="1"/>
  <c r="S296" i="3" a="1"/>
  <c r="K296" i="3" a="1"/>
  <c r="R282" i="3" a="1"/>
  <c r="T282" i="3" a="1"/>
  <c r="K164" i="3" a="1"/>
  <c r="K99" i="3" a="1"/>
  <c r="R247" i="3" a="1"/>
  <c r="R126" i="3" a="1"/>
  <c r="O97" i="3" a="1"/>
  <c r="U97" i="3" a="1"/>
  <c r="K278" i="3" a="1"/>
  <c r="T68" i="3" a="1"/>
  <c r="L88" i="3" a="1"/>
  <c r="L89" i="3" a="1"/>
  <c r="L54" i="3" a="1"/>
  <c r="O54" i="3" a="1"/>
  <c r="O219" i="3" a="1"/>
  <c r="R210" i="3" a="1"/>
  <c r="Q49" i="3" a="1"/>
  <c r="T49" i="3" a="1"/>
  <c r="U209" i="3" a="1"/>
  <c r="Q18" i="3" a="1"/>
  <c r="K18" i="3" a="1"/>
  <c r="K179" i="3" a="1"/>
  <c r="Q179" i="3" a="1"/>
  <c r="K121" i="3" a="1"/>
  <c r="R121" i="3" a="1"/>
  <c r="Q58" i="3" a="1"/>
  <c r="R58" i="3" a="1"/>
  <c r="U175" i="3" a="1"/>
  <c r="R248" i="3" a="1"/>
  <c r="L248" i="3" a="1"/>
  <c r="P40" i="3" a="1"/>
  <c r="K40" i="3" a="1"/>
  <c r="U141" i="3" a="1"/>
  <c r="L267" i="3" a="1"/>
  <c r="K15" i="3" a="1"/>
  <c r="T20" i="3" a="1"/>
  <c r="O20" i="3" a="1"/>
  <c r="R76" i="3" a="1"/>
  <c r="O76" i="3" a="1"/>
  <c r="O104" i="3" a="1"/>
  <c r="K104" i="3" a="1"/>
  <c r="S159" i="3" a="1"/>
  <c r="S33" i="3" a="1"/>
  <c r="U33" i="3" a="1"/>
  <c r="S14" i="3" a="1"/>
  <c r="Q14" i="3" a="1"/>
  <c r="U73" i="3" a="1"/>
  <c r="S166" i="3" a="1"/>
  <c r="R253" i="3" a="1"/>
  <c r="Q253" i="3" a="1"/>
  <c r="U24" i="3" a="1"/>
  <c r="L142" i="3" a="1"/>
  <c r="K135" i="3" a="1"/>
  <c r="L135" i="3" a="1"/>
  <c r="R45" i="3" a="1"/>
  <c r="K45" i="3" a="1"/>
  <c r="L32" i="3" a="1"/>
  <c r="S71" i="3" a="1"/>
  <c r="Q274" i="3" a="1"/>
  <c r="P140" i="3" a="1"/>
  <c r="U140" i="3" a="1"/>
  <c r="U90" i="3" a="1"/>
  <c r="S90" i="3" a="1"/>
  <c r="S252" i="3" a="1"/>
  <c r="K103" i="3" a="1"/>
  <c r="R103" i="3" a="1"/>
  <c r="P134" i="3" a="1"/>
  <c r="L72" i="3" a="1"/>
  <c r="L9" i="3" a="1"/>
  <c r="U258" i="3" a="1"/>
  <c r="P258" i="3" a="1"/>
  <c r="O19" i="3" a="1"/>
  <c r="Q19" i="3" a="1"/>
  <c r="R31" i="3" a="1"/>
  <c r="O31" i="3" a="1"/>
  <c r="L218" i="3" a="1"/>
  <c r="S218" i="3" a="1"/>
  <c r="O13" i="3" a="1"/>
  <c r="L13" i="3" a="1"/>
  <c r="P230" i="3" a="1"/>
  <c r="T145" i="3" a="1"/>
  <c r="S145" i="3" a="1"/>
  <c r="L29" i="3" a="1"/>
  <c r="S50" i="3" a="1"/>
  <c r="R50" i="3" a="1"/>
  <c r="S61" i="3" a="1"/>
  <c r="T131" i="3" a="1"/>
  <c r="T259" i="3" a="1"/>
  <c r="Q142" i="3" a="1"/>
  <c r="U135" i="3" a="1"/>
  <c r="P45" i="3" a="1"/>
  <c r="R71" i="3" a="1"/>
  <c r="S140" i="3" a="1"/>
  <c r="L252" i="3" a="1"/>
  <c r="O134" i="3" a="1"/>
  <c r="U72" i="3" a="1"/>
  <c r="Q258" i="3" a="1"/>
  <c r="S13" i="3" a="1"/>
  <c r="T50" i="3" a="1"/>
  <c r="S131" i="3" a="1"/>
  <c r="R259" i="3" a="1"/>
  <c r="T152" i="3" a="1"/>
  <c r="U152" i="3" a="1"/>
  <c r="U197" i="3" a="1"/>
  <c r="R12" i="3" a="1"/>
  <c r="U254" i="3" a="1"/>
  <c r="L254" i="3" a="1"/>
  <c r="T55" i="3" a="1"/>
  <c r="K55" i="3" a="1"/>
  <c r="U168" i="3" a="1"/>
  <c r="L296" i="3" a="1"/>
  <c r="P296" i="3" a="1"/>
  <c r="U282" i="3" a="1"/>
  <c r="Q282" i="3" a="1"/>
  <c r="T99" i="3" a="1"/>
  <c r="O99" i="3" a="1"/>
  <c r="L247" i="3" a="1"/>
  <c r="Q126" i="3" a="1"/>
  <c r="K97" i="3" a="1"/>
  <c r="L97" i="3" a="1"/>
  <c r="S278" i="3" a="1"/>
  <c r="Q68" i="3" a="1"/>
  <c r="Q88" i="3" a="1"/>
  <c r="R89" i="3" a="1"/>
  <c r="K54" i="3" a="1"/>
  <c r="P54" i="3" a="1"/>
  <c r="L219" i="3" a="1"/>
  <c r="U210" i="3" a="1"/>
  <c r="O49" i="3" a="1"/>
  <c r="L49" i="3" a="1"/>
  <c r="Q209" i="3" a="1"/>
  <c r="K209" i="3" a="1"/>
  <c r="U18" i="3" a="1"/>
  <c r="P179" i="3" a="1"/>
  <c r="P121" i="3" a="1"/>
  <c r="U58" i="3" a="1"/>
  <c r="K175" i="3" a="1"/>
  <c r="R175" i="3" a="1"/>
  <c r="S248" i="3" a="1"/>
  <c r="U40" i="3" a="1"/>
  <c r="T141" i="3" a="1"/>
  <c r="T267" i="3" a="1"/>
  <c r="P15" i="3" a="1"/>
  <c r="L20" i="3" a="1"/>
  <c r="U20" i="3" a="1"/>
  <c r="L76" i="3" a="1"/>
  <c r="U76" i="3" a="1"/>
  <c r="R104" i="3" a="1"/>
  <c r="Q104" i="3" a="1"/>
  <c r="L159" i="3" a="1"/>
  <c r="Q159" i="3" a="1"/>
  <c r="S96" i="3" a="1"/>
  <c r="T33" i="3" a="1"/>
  <c r="O33" i="3" a="1"/>
  <c r="K14" i="3" a="1"/>
  <c r="L14" i="3" a="1"/>
  <c r="S73" i="3" a="1"/>
  <c r="Q166" i="3" a="1"/>
  <c r="U253" i="3" a="1"/>
  <c r="L253" i="3" a="1"/>
  <c r="R24" i="3" a="1"/>
  <c r="P142" i="3" a="1"/>
  <c r="S135" i="3" a="1"/>
  <c r="O135" i="3" a="1"/>
  <c r="T45" i="3" a="1"/>
  <c r="U32" i="3" a="1"/>
  <c r="O32" i="3" a="1"/>
  <c r="T71" i="3" a="1"/>
  <c r="L71" i="3" a="1"/>
  <c r="T274" i="3" a="1"/>
  <c r="Q140" i="3" a="1"/>
  <c r="L140" i="3" a="1"/>
  <c r="P90" i="3" a="1"/>
  <c r="R90" i="3" a="1"/>
  <c r="K252" i="3" a="1"/>
  <c r="R252" i="3" a="1"/>
  <c r="P103" i="3" a="1"/>
  <c r="O103" i="3" a="1"/>
  <c r="K134" i="3" a="1"/>
  <c r="T72" i="3" a="1"/>
  <c r="L258" i="3" a="1"/>
  <c r="S19" i="3" a="1"/>
  <c r="L31" i="3" a="1"/>
  <c r="U218" i="3" a="1"/>
  <c r="K13" i="3" a="1"/>
  <c r="S230" i="3" a="1"/>
  <c r="L230" i="3" a="1"/>
  <c r="U145" i="3" a="1"/>
  <c r="S29" i="3" a="1"/>
  <c r="U50" i="3" a="1"/>
  <c r="T61" i="3" a="1"/>
  <c r="L61" i="3" a="1"/>
  <c r="U131" i="3" a="1"/>
  <c r="L131" i="3" a="1"/>
  <c r="Q259" i="3" a="1"/>
  <c r="S142" i="3" a="1"/>
  <c r="P32" i="3" a="1"/>
  <c r="Q90" i="3" a="1"/>
  <c r="K19" i="3" a="1"/>
  <c r="P218" i="3" a="1"/>
  <c r="T13" i="3" a="1"/>
  <c r="R230" i="3" a="1"/>
  <c r="K152" i="3" a="1"/>
  <c r="O152" i="3" a="1"/>
  <c r="R197" i="3" a="1"/>
  <c r="P12" i="3" a="1"/>
  <c r="Q254" i="3" a="1"/>
  <c r="T254" i="3" a="1"/>
  <c r="R55" i="3" a="1"/>
  <c r="Q55" i="3" a="1"/>
  <c r="P168" i="3" a="1"/>
  <c r="S168" i="3" a="1"/>
  <c r="R296" i="3" a="1"/>
  <c r="O282" i="3" a="1"/>
  <c r="P99" i="3" a="1"/>
  <c r="Q99" i="3" a="1"/>
  <c r="S247" i="3" a="1"/>
  <c r="O126" i="3" a="1"/>
  <c r="P97" i="3" a="1"/>
  <c r="R97" i="3" a="1"/>
  <c r="T278" i="3" a="1"/>
  <c r="P68" i="3" a="1"/>
  <c r="S88" i="3" a="1"/>
  <c r="U88" i="3" a="1"/>
  <c r="K89" i="3" a="1"/>
  <c r="T89" i="3" a="1"/>
  <c r="T54" i="3" a="1"/>
  <c r="Q219" i="3" a="1"/>
  <c r="T219" i="3" a="1"/>
  <c r="S210" i="3" a="1"/>
  <c r="L210" i="3" a="1"/>
  <c r="K49" i="3" a="1"/>
  <c r="S209" i="3" a="1"/>
  <c r="L209" i="3" a="1"/>
  <c r="L18" i="3" a="1"/>
  <c r="O179" i="3" a="1"/>
  <c r="O121" i="3" a="1"/>
  <c r="K58" i="3" a="1"/>
  <c r="Q175" i="3" a="1"/>
  <c r="T175" i="3" a="1"/>
  <c r="U248" i="3" a="1"/>
  <c r="T40" i="3" a="1"/>
  <c r="P141" i="3" a="1"/>
  <c r="K267" i="3" a="1"/>
  <c r="U267" i="3" a="1"/>
  <c r="L15" i="3" a="1"/>
  <c r="T15" i="3" a="1"/>
  <c r="K20" i="3" a="1"/>
  <c r="S76" i="3" a="1"/>
  <c r="S104" i="3" a="1"/>
  <c r="T159" i="3" a="1"/>
  <c r="O159" i="3" a="1"/>
  <c r="L96" i="3" a="1"/>
  <c r="R33" i="3" a="1"/>
  <c r="L33" i="3" a="1"/>
  <c r="O14" i="3" a="1"/>
  <c r="R14" i="3" a="1"/>
  <c r="O73" i="3" a="1"/>
  <c r="R166" i="3" a="1"/>
  <c r="K253" i="3" a="1"/>
  <c r="O253" i="3" a="1"/>
  <c r="O24" i="3" a="1"/>
  <c r="O142" i="3" a="1"/>
  <c r="T135" i="3" a="1"/>
  <c r="U45" i="3" a="1"/>
  <c r="S32" i="3" a="1"/>
  <c r="Q32" i="3" a="1"/>
  <c r="K71" i="3" a="1"/>
  <c r="P71" i="3" a="1"/>
  <c r="O274" i="3" a="1"/>
  <c r="K140" i="3" a="1"/>
  <c r="O140" i="3" a="1"/>
  <c r="K90" i="3" a="1"/>
  <c r="O252" i="3" a="1"/>
  <c r="U252" i="3" a="1"/>
  <c r="Q103" i="3" a="1"/>
  <c r="L103" i="3" a="1"/>
  <c r="L134" i="3" a="1"/>
  <c r="K72" i="3" a="1"/>
  <c r="O258" i="3" a="1"/>
  <c r="P19" i="3" a="1"/>
  <c r="T31" i="3" a="1"/>
  <c r="T218" i="3" a="1"/>
  <c r="Q13" i="3" a="1"/>
  <c r="K230" i="3" a="1"/>
  <c r="O230" i="3" a="1"/>
  <c r="R145" i="3" a="1"/>
  <c r="R29" i="3" a="1"/>
  <c r="Q50" i="3" a="1"/>
  <c r="K61" i="3" a="1"/>
  <c r="U61" i="3" a="1"/>
  <c r="R131" i="3" a="1"/>
  <c r="P131" i="3" a="1"/>
  <c r="K259" i="3" a="1"/>
  <c r="Q33" i="3" a="1"/>
  <c r="U103" i="3" a="1"/>
  <c r="K258" i="3" a="1"/>
  <c r="U19" i="3" a="1"/>
  <c r="S31" i="3" a="1"/>
  <c r="P152" i="3" a="1"/>
  <c r="K197" i="3" a="1"/>
  <c r="O197" i="3" a="1"/>
  <c r="K12" i="3" a="1"/>
  <c r="U12" i="3" a="1"/>
  <c r="P254" i="3" a="1"/>
  <c r="L55" i="3" a="1"/>
  <c r="S180" i="3" a="1"/>
  <c r="T168" i="3" a="1"/>
  <c r="L168" i="3" a="1"/>
  <c r="Q296" i="3" a="1"/>
  <c r="S282" i="3" a="1"/>
  <c r="R99" i="3" a="1"/>
  <c r="S99" i="3" a="1"/>
  <c r="Q247" i="3" a="1"/>
  <c r="P247" i="3" a="1"/>
  <c r="P126" i="3" a="1"/>
  <c r="U126" i="3" a="1"/>
  <c r="Q97" i="3" a="1"/>
  <c r="L68" i="3" a="1"/>
  <c r="U68" i="3" a="1"/>
  <c r="K88" i="3" a="1"/>
  <c r="O88" i="3" a="1"/>
  <c r="P89" i="3" a="1"/>
  <c r="S89" i="3" a="1"/>
  <c r="S54" i="3" a="1"/>
  <c r="P219" i="3" a="1"/>
  <c r="U219" i="3" a="1"/>
  <c r="T210" i="3" a="1"/>
  <c r="P210" i="3" a="1"/>
  <c r="S49" i="3" a="1"/>
  <c r="P209" i="3" a="1"/>
  <c r="T209" i="3" a="1"/>
  <c r="S18" i="3" a="1"/>
  <c r="T179" i="3" a="1"/>
  <c r="Q121" i="3" a="1"/>
  <c r="L58" i="3" a="1"/>
  <c r="O175" i="3" a="1"/>
  <c r="L175" i="3" a="1"/>
  <c r="O248" i="3" a="1"/>
  <c r="L40" i="3" a="1"/>
  <c r="L141" i="3" a="1"/>
  <c r="O141" i="3" a="1"/>
  <c r="Q267" i="3" a="1"/>
  <c r="O267" i="3" a="1"/>
  <c r="S15" i="3" a="1"/>
  <c r="Q15" i="3" a="1"/>
  <c r="Q20" i="3" a="1"/>
  <c r="K76" i="3" a="1"/>
  <c r="T104" i="3" a="1"/>
  <c r="R159" i="3" a="1"/>
  <c r="U159" i="3" a="1"/>
  <c r="P33" i="3" a="1"/>
  <c r="P14" i="3" a="1"/>
  <c r="L73" i="3" a="1"/>
  <c r="K73" i="3" a="1"/>
  <c r="O166" i="3" a="1"/>
  <c r="T166" i="3" a="1"/>
  <c r="S253" i="3" a="1"/>
  <c r="S24" i="3" a="1"/>
  <c r="L24" i="3" a="1"/>
  <c r="U142" i="3" a="1"/>
  <c r="T142" i="3" a="1"/>
  <c r="R135" i="3" a="1"/>
  <c r="S45" i="3" a="1"/>
  <c r="K32" i="3" a="1"/>
  <c r="R32" i="3" a="1"/>
  <c r="O71" i="3" a="1"/>
  <c r="Q71" i="3" a="1"/>
  <c r="T140" i="3" a="1"/>
  <c r="T90" i="3" a="1"/>
  <c r="Q252" i="3" a="1"/>
  <c r="P252" i="3" a="1"/>
  <c r="S103" i="3" a="1"/>
  <c r="T134" i="3" a="1"/>
  <c r="U134" i="3" a="1"/>
  <c r="Q72" i="3" a="1"/>
  <c r="O72" i="3" a="1"/>
  <c r="S9" i="3" a="1"/>
  <c r="R258" i="3" a="1"/>
  <c r="T19" i="3" a="1"/>
  <c r="Q31" i="3" a="1"/>
  <c r="Q218" i="3" a="1"/>
  <c r="R13" i="3" a="1"/>
  <c r="U230" i="3" a="1"/>
  <c r="Q230" i="3" a="1"/>
  <c r="P145" i="3" a="1"/>
  <c r="P29" i="3" a="1"/>
  <c r="O50" i="3" a="1"/>
  <c r="O61" i="3" a="1"/>
  <c r="R61" i="3" a="1"/>
  <c r="Q131" i="3" a="1"/>
  <c r="K131" i="3" a="1"/>
  <c r="S259" i="3" a="1"/>
  <c r="P259" i="3" a="1"/>
  <c r="O45" i="3" a="1"/>
  <c r="L90" i="3" a="1"/>
  <c r="U259" i="3" a="1"/>
  <c r="L152" i="3" a="1"/>
  <c r="L197" i="3" a="1"/>
  <c r="P197" i="3" a="1"/>
  <c r="S12" i="3" a="1"/>
  <c r="O12" i="3" a="1"/>
  <c r="K254" i="3" a="1"/>
  <c r="S55" i="3" a="1"/>
  <c r="Q180" i="3" a="1"/>
  <c r="K168" i="3" a="1"/>
  <c r="R168" i="3" a="1"/>
  <c r="T296" i="3" a="1"/>
  <c r="L282" i="3" a="1"/>
  <c r="U99" i="3" a="1"/>
  <c r="K247" i="3" a="1"/>
  <c r="U247" i="3" a="1"/>
  <c r="K126" i="3" a="1"/>
  <c r="T126" i="3" a="1"/>
  <c r="T97" i="3" a="1"/>
  <c r="R68" i="3" a="1"/>
  <c r="S68" i="3" a="1"/>
  <c r="T88" i="3" a="1"/>
  <c r="P88" i="3" a="1"/>
  <c r="Q89" i="3" a="1"/>
  <c r="U89" i="3" a="1"/>
  <c r="U54" i="3" a="1"/>
  <c r="K219" i="3" a="1"/>
  <c r="R219" i="3" a="1"/>
  <c r="O210" i="3" a="1"/>
  <c r="K210" i="3" a="1"/>
  <c r="P49" i="3" a="1"/>
  <c r="R209" i="3" a="1"/>
  <c r="R18" i="3" a="1"/>
  <c r="O18" i="3" a="1"/>
  <c r="L179" i="3" a="1"/>
  <c r="U179" i="3" a="1"/>
  <c r="L121" i="3" a="1"/>
  <c r="U121" i="3" a="1"/>
  <c r="P58" i="3" a="1"/>
  <c r="T58" i="3" a="1"/>
  <c r="S175" i="3" a="1"/>
  <c r="P248" i="3" a="1"/>
  <c r="Q248" i="3" a="1"/>
  <c r="R40" i="3" a="1"/>
  <c r="S40" i="3" a="1"/>
  <c r="Q141" i="3" a="1"/>
  <c r="K141" i="3" a="1"/>
  <c r="S267" i="3" a="1"/>
  <c r="P267" i="3" a="1"/>
  <c r="R15" i="3" a="1"/>
  <c r="U15" i="3" a="1"/>
  <c r="R20" i="3" a="1"/>
  <c r="T76" i="3" a="1"/>
  <c r="U104" i="3" a="1"/>
  <c r="P159" i="3" a="1"/>
  <c r="K33" i="3" a="1"/>
  <c r="T14" i="3" a="1"/>
  <c r="Q73" i="3" a="1"/>
  <c r="T73" i="3" a="1"/>
  <c r="K166" i="3" a="1"/>
  <c r="P166" i="3" a="1"/>
  <c r="P253" i="3" a="1"/>
  <c r="P24" i="3" a="1"/>
  <c r="T24" i="3" a="1"/>
  <c r="R142" i="3" a="1"/>
  <c r="K142" i="3" a="1"/>
  <c r="P135" i="3" a="1"/>
  <c r="L45" i="3" a="1"/>
  <c r="Q45" i="3" a="1"/>
  <c r="T32" i="3" a="1"/>
  <c r="U71" i="3" a="1"/>
  <c r="U274" i="3" a="1"/>
  <c r="R140" i="3" a="1"/>
  <c r="O90" i="3" a="1"/>
  <c r="T252" i="3" a="1"/>
  <c r="T103" i="3" a="1"/>
  <c r="R134" i="3" a="1"/>
  <c r="S134" i="3" a="1"/>
  <c r="R72" i="3" a="1"/>
  <c r="P72" i="3" a="1"/>
  <c r="R9" i="3" a="1"/>
  <c r="T258" i="3" a="1"/>
  <c r="S258" i="3" a="1"/>
  <c r="L19" i="3" a="1"/>
  <c r="R19" i="3" a="1"/>
  <c r="P31" i="3" a="1"/>
  <c r="U31" i="3" a="1"/>
  <c r="K218" i="3" a="1"/>
  <c r="O218" i="3" a="1"/>
  <c r="P13" i="3" a="1"/>
  <c r="U13" i="3" a="1"/>
  <c r="T230" i="3" a="1"/>
  <c r="O145" i="3" a="1"/>
  <c r="Q145" i="3" a="1"/>
  <c r="U29" i="3" a="1"/>
  <c r="P50" i="3" a="1"/>
  <c r="L50" i="3" a="1"/>
  <c r="P61" i="3" a="1"/>
  <c r="O131" i="3" a="1"/>
  <c r="L259" i="3" a="1"/>
  <c r="O259" i="3" a="1"/>
  <c r="K9" i="3" a="1"/>
  <c r="R218" i="3" a="1"/>
  <c r="K145" i="3" a="1"/>
  <c r="O29" i="3" a="1"/>
  <c r="K307" i="3" a="1"/>
  <c r="S152" i="3" a="1"/>
  <c r="Q197" i="3" a="1"/>
  <c r="T197" i="3" a="1"/>
  <c r="T12" i="3" a="1"/>
  <c r="Q12" i="3" a="1"/>
  <c r="O254" i="3" a="1"/>
  <c r="O55" i="3" a="1"/>
  <c r="U180" i="3" a="1"/>
  <c r="Q168" i="3" a="1"/>
  <c r="U296" i="3" a="1"/>
  <c r="O296" i="3" a="1"/>
  <c r="P282" i="3" a="1"/>
  <c r="K282" i="3" a="1"/>
  <c r="R164" i="3" a="1"/>
  <c r="L99" i="3" a="1"/>
  <c r="T247" i="3" a="1"/>
  <c r="O247" i="3" a="1"/>
  <c r="S126" i="3" a="1"/>
  <c r="L126" i="3" a="1"/>
  <c r="S97" i="3" a="1"/>
  <c r="K68" i="3" a="1"/>
  <c r="O68" i="3" a="1"/>
  <c r="R88" i="3" a="1"/>
  <c r="O89" i="3" a="1"/>
  <c r="R54" i="3" a="1"/>
  <c r="Q54" i="3" a="1"/>
  <c r="S219" i="3" a="1"/>
  <c r="Q210" i="3" a="1"/>
  <c r="R49" i="3" a="1"/>
  <c r="U49" i="3" a="1"/>
  <c r="O209" i="3" a="1"/>
  <c r="T18" i="3" a="1"/>
  <c r="P18" i="3" a="1"/>
  <c r="S179" i="3" a="1"/>
  <c r="R179" i="3" a="1"/>
  <c r="T121" i="3" a="1"/>
  <c r="S121" i="3" a="1"/>
  <c r="S58" i="3" a="1"/>
  <c r="O58" i="3" a="1"/>
  <c r="P175" i="3" a="1"/>
  <c r="T248" i="3" a="1"/>
  <c r="K248" i="3" a="1"/>
  <c r="O40" i="3" a="1"/>
  <c r="Q40" i="3" a="1"/>
  <c r="S141" i="3" a="1"/>
  <c r="R141" i="3" a="1"/>
  <c r="R267" i="3" a="1"/>
  <c r="O15" i="3" a="1"/>
  <c r="S20" i="3" a="1"/>
  <c r="P20" i="3" a="1"/>
  <c r="Q76" i="3" a="1"/>
  <c r="P76" i="3" a="1"/>
  <c r="P104" i="3" a="1"/>
  <c r="L104" i="3" a="1"/>
  <c r="K159" i="3" a="1"/>
  <c r="U14" i="3" a="1"/>
  <c r="R73" i="3" a="1"/>
  <c r="P73" i="3" a="1"/>
  <c r="U166" i="3" a="1"/>
  <c r="L166" i="3" a="1"/>
  <c r="T253" i="3" a="1"/>
  <c r="K24" i="3" a="1"/>
  <c r="Q24" i="3" a="1"/>
  <c r="Q135" i="3" a="1"/>
  <c r="L274" i="3" a="1"/>
  <c r="Q134" i="3" a="1"/>
  <c r="S72" i="3" a="1"/>
  <c r="K31" i="3" a="1"/>
  <c r="L145" i="3" a="1"/>
  <c r="K50" i="3" a="1"/>
  <c r="Q61" i="3" a="1"/>
  <c r="R123" i="3" a="1"/>
  <c r="S123" i="3" a="1"/>
  <c r="K220" i="3" a="1"/>
  <c r="U220" i="3" a="1"/>
  <c r="U42" i="3" a="1"/>
  <c r="U105" i="3" a="1"/>
  <c r="K119" i="3" a="1"/>
  <c r="L105" i="3" a="1"/>
  <c r="P105" i="3" a="1"/>
  <c r="T105" i="3" a="1"/>
  <c r="T123" i="3" a="1"/>
  <c r="L220" i="3" a="1"/>
  <c r="Q41" i="3" a="1"/>
  <c r="O123" i="3" a="1"/>
  <c r="Q123" i="3" a="1"/>
  <c r="O220" i="3" a="1"/>
  <c r="Q220" i="3" a="1"/>
  <c r="K42" i="3" a="1"/>
  <c r="T208" i="3" a="1"/>
  <c r="S41" i="3" a="1"/>
  <c r="P208" i="3" a="1"/>
  <c r="K105" i="3" a="1"/>
  <c r="K123" i="3" a="1"/>
  <c r="O42" i="3" a="1"/>
  <c r="O105" i="3" a="1"/>
  <c r="U123" i="3" a="1"/>
  <c r="T220" i="3" a="1"/>
  <c r="L42" i="3" a="1"/>
  <c r="P42" i="3" a="1"/>
  <c r="U208" i="3" a="1"/>
  <c r="P41" i="3" a="1"/>
  <c r="L208" i="3" a="1"/>
  <c r="O41" i="3" a="1"/>
  <c r="O208" i="3" a="1"/>
  <c r="U41" i="3" a="1"/>
  <c r="P119" i="3" a="1"/>
  <c r="U119" i="3" a="1"/>
  <c r="Q105" i="3" a="1"/>
  <c r="R105" i="3" a="1"/>
  <c r="R119" i="3" a="1"/>
  <c r="Q119" i="3" a="1"/>
  <c r="L123" i="3" a="1"/>
  <c r="S220" i="3" a="1"/>
  <c r="T42" i="3" a="1"/>
  <c r="Q42" i="3" a="1"/>
  <c r="S208" i="3" a="1"/>
  <c r="Q208" i="3" a="1"/>
  <c r="T41" i="3" a="1"/>
  <c r="R208" i="3" a="1"/>
  <c r="K41" i="3" a="1"/>
  <c r="T119" i="3" a="1"/>
  <c r="L119" i="3" a="1"/>
  <c r="S119" i="3" a="1"/>
  <c r="P123" i="3" a="1"/>
  <c r="P220" i="3" a="1"/>
  <c r="R220" i="3" a="1"/>
  <c r="S42" i="3" a="1"/>
  <c r="R42" i="3" a="1"/>
  <c r="R41" i="3" a="1"/>
  <c r="K208" i="3" a="1"/>
  <c r="L41" i="3" a="1"/>
  <c r="S105" i="3" a="1"/>
  <c r="R42" i="3" l="1"/>
  <c r="S42" i="3"/>
  <c r="R220" i="3"/>
  <c r="P220" i="3"/>
  <c r="P123" i="3"/>
  <c r="Q42" i="3"/>
  <c r="T42" i="3"/>
  <c r="S220" i="3"/>
  <c r="L123" i="3"/>
  <c r="Q119" i="3"/>
  <c r="R119" i="3"/>
  <c r="P42" i="3"/>
  <c r="L42" i="3"/>
  <c r="T220" i="3"/>
  <c r="U123" i="3"/>
  <c r="O42" i="3"/>
  <c r="K123" i="3"/>
  <c r="K42" i="3"/>
  <c r="Q220" i="3"/>
  <c r="O220" i="3"/>
  <c r="Q123" i="3"/>
  <c r="O123" i="3"/>
  <c r="L220" i="3"/>
  <c r="T123" i="3"/>
  <c r="U42" i="3"/>
  <c r="U220" i="3"/>
  <c r="K220" i="3"/>
  <c r="S123" i="3"/>
  <c r="R123" i="3"/>
  <c r="U255" i="3"/>
  <c r="S163" i="3"/>
  <c r="P57" i="3"/>
  <c r="U158" i="3"/>
  <c r="S74" i="3"/>
  <c r="R101" i="3"/>
  <c r="L170" i="3"/>
  <c r="P95" i="3"/>
  <c r="O216" i="3"/>
  <c r="K236" i="3"/>
  <c r="P120" i="3"/>
  <c r="K246" i="3"/>
  <c r="Q84" i="3"/>
  <c r="O249" i="3"/>
  <c r="Q101" i="3"/>
  <c r="L66" i="3"/>
  <c r="K86" i="3"/>
  <c r="L216" i="3"/>
  <c r="T137" i="3"/>
  <c r="L205" i="3"/>
  <c r="Q174" i="3"/>
  <c r="L116" i="3"/>
  <c r="S244" i="3"/>
  <c r="Q133" i="3"/>
  <c r="U130" i="3"/>
  <c r="R81" i="3"/>
  <c r="T35" i="3"/>
  <c r="P148" i="3"/>
  <c r="K227" i="3"/>
  <c r="S235" i="3"/>
  <c r="U173" i="3"/>
  <c r="O163" i="3"/>
  <c r="S233" i="3"/>
  <c r="K234" i="3"/>
  <c r="T221" i="3"/>
  <c r="T198" i="3"/>
  <c r="S25" i="3"/>
  <c r="Q146" i="3"/>
  <c r="P98" i="3"/>
  <c r="L191" i="3"/>
  <c r="S223" i="3"/>
  <c r="O237" i="3"/>
  <c r="L155" i="3"/>
  <c r="U67" i="3"/>
  <c r="P260" i="3"/>
  <c r="K205" i="3"/>
  <c r="S81" i="3"/>
  <c r="T217" i="3"/>
  <c r="P69" i="3"/>
  <c r="R53" i="3"/>
  <c r="U93" i="3"/>
  <c r="U234" i="3"/>
  <c r="U221" i="3"/>
  <c r="P236" i="3"/>
  <c r="K100" i="3"/>
  <c r="R188" i="3"/>
  <c r="L143" i="3"/>
  <c r="Q4" i="3"/>
  <c r="R191" i="3"/>
  <c r="Q22" i="3"/>
  <c r="K153" i="3"/>
  <c r="R136" i="3"/>
  <c r="R67" i="3"/>
  <c r="L139" i="3"/>
  <c r="R178" i="3"/>
  <c r="P3" i="3"/>
  <c r="S3" i="3"/>
  <c r="Q255" i="3"/>
  <c r="R69" i="3"/>
  <c r="T69" i="3"/>
  <c r="K173" i="3"/>
  <c r="Q53" i="3"/>
  <c r="K53" i="3"/>
  <c r="U163" i="3"/>
  <c r="P233" i="3"/>
  <c r="O93" i="3"/>
  <c r="L93" i="3"/>
  <c r="Q234" i="3"/>
  <c r="P234" i="3"/>
  <c r="K221" i="3"/>
  <c r="Q221" i="3"/>
  <c r="S236" i="3"/>
  <c r="R236" i="3"/>
  <c r="O198" i="3"/>
  <c r="Q57" i="3"/>
  <c r="U25" i="3"/>
  <c r="O100" i="3"/>
  <c r="L100" i="3"/>
  <c r="K120" i="3"/>
  <c r="S120" i="3"/>
  <c r="S146" i="3"/>
  <c r="K188" i="3"/>
  <c r="P188" i="3"/>
  <c r="K158" i="3"/>
  <c r="U48" i="3"/>
  <c r="T111" i="3"/>
  <c r="P17" i="3"/>
  <c r="S98" i="3"/>
  <c r="T143" i="3"/>
  <c r="T132" i="3"/>
  <c r="L4" i="3"/>
  <c r="S84" i="3"/>
  <c r="S77" i="3"/>
  <c r="P191" i="3"/>
  <c r="Q23" i="3"/>
  <c r="R249" i="3"/>
  <c r="P125" i="3"/>
  <c r="O22" i="3"/>
  <c r="O118" i="3"/>
  <c r="P154" i="3"/>
  <c r="Q237" i="3"/>
  <c r="O211" i="3"/>
  <c r="U150" i="3"/>
  <c r="R214" i="3"/>
  <c r="R207" i="3"/>
  <c r="L108" i="3"/>
  <c r="L101" i="3"/>
  <c r="R155" i="3"/>
  <c r="R231" i="3"/>
  <c r="K136" i="3"/>
  <c r="Q238" i="3"/>
  <c r="K67" i="3"/>
  <c r="K66" i="3"/>
  <c r="U129" i="3"/>
  <c r="Q217" i="3"/>
  <c r="S139" i="3"/>
  <c r="Q86" i="3"/>
  <c r="L260" i="3"/>
  <c r="L110" i="3"/>
  <c r="P216" i="3"/>
  <c r="K151" i="3"/>
  <c r="S178" i="3"/>
  <c r="S137" i="3"/>
  <c r="P94" i="3"/>
  <c r="U212" i="3"/>
  <c r="L174" i="3"/>
  <c r="T116" i="3"/>
  <c r="R65" i="3"/>
  <c r="K244" i="3"/>
  <c r="L133" i="3"/>
  <c r="T130" i="3"/>
  <c r="L81" i="3"/>
  <c r="Q261" i="3"/>
  <c r="Q69" i="3"/>
  <c r="L188" i="3"/>
  <c r="Q48" i="3"/>
  <c r="T246" i="3"/>
  <c r="S132" i="3"/>
  <c r="R84" i="3"/>
  <c r="Q195" i="3"/>
  <c r="S118" i="3"/>
  <c r="Q79" i="3"/>
  <c r="O238" i="3"/>
  <c r="T151" i="3"/>
  <c r="R222" i="3"/>
  <c r="S130" i="3"/>
  <c r="L69" i="3"/>
  <c r="T53" i="3"/>
  <c r="T233" i="3"/>
  <c r="T234" i="3"/>
  <c r="U57" i="3"/>
  <c r="L25" i="3"/>
  <c r="O120" i="3"/>
  <c r="L195" i="3"/>
  <c r="R125" i="3"/>
  <c r="K237" i="3"/>
  <c r="Q214" i="3"/>
  <c r="Q82" i="3"/>
  <c r="T155" i="3"/>
  <c r="K238" i="3"/>
  <c r="S95" i="3"/>
  <c r="K260" i="3"/>
  <c r="S110" i="3"/>
  <c r="U151" i="3"/>
  <c r="U3" i="3"/>
  <c r="K3" i="3"/>
  <c r="S255" i="3"/>
  <c r="O69" i="3"/>
  <c r="K69" i="3"/>
  <c r="S173" i="3"/>
  <c r="L53" i="3"/>
  <c r="O53" i="3"/>
  <c r="Q163" i="3"/>
  <c r="Q233" i="3"/>
  <c r="P93" i="3"/>
  <c r="K93" i="3"/>
  <c r="S234" i="3"/>
  <c r="L234" i="3"/>
  <c r="P221" i="3"/>
  <c r="R221" i="3"/>
  <c r="L236" i="3"/>
  <c r="R198" i="3"/>
  <c r="L198" i="3"/>
  <c r="S57" i="3"/>
  <c r="R25" i="3"/>
  <c r="Q100" i="3"/>
  <c r="U100" i="3"/>
  <c r="U120" i="3"/>
  <c r="Q120" i="3"/>
  <c r="L146" i="3"/>
  <c r="O188" i="3"/>
  <c r="U188" i="3"/>
  <c r="R158" i="3"/>
  <c r="S48" i="3"/>
  <c r="P246" i="3"/>
  <c r="U17" i="3"/>
  <c r="Q98" i="3"/>
  <c r="Q132" i="3"/>
  <c r="O4" i="3"/>
  <c r="O84" i="3"/>
  <c r="O77" i="3"/>
  <c r="P195" i="3"/>
  <c r="S191" i="3"/>
  <c r="U23" i="3"/>
  <c r="T249" i="3"/>
  <c r="O74" i="3"/>
  <c r="T22" i="3"/>
  <c r="U118" i="3"/>
  <c r="R154" i="3"/>
  <c r="Q171" i="3"/>
  <c r="R64" i="3"/>
  <c r="P150" i="3"/>
  <c r="Q147" i="3"/>
  <c r="P172" i="3"/>
  <c r="T207" i="3"/>
  <c r="T108" i="3"/>
  <c r="K101" i="3"/>
  <c r="P155" i="3"/>
  <c r="Q231" i="3"/>
  <c r="U136" i="3"/>
  <c r="U238" i="3"/>
  <c r="T67" i="3"/>
  <c r="Q66" i="3"/>
  <c r="T129" i="3"/>
  <c r="Q176" i="3"/>
  <c r="Q41" i="3"/>
  <c r="L235" i="3"/>
  <c r="Q216" i="3"/>
  <c r="P151" i="3"/>
  <c r="R92" i="3"/>
  <c r="L137" i="3"/>
  <c r="K94" i="3"/>
  <c r="K212" i="3"/>
  <c r="O174" i="3"/>
  <c r="S116" i="3"/>
  <c r="T65" i="3"/>
  <c r="O222" i="3"/>
  <c r="T122" i="3"/>
  <c r="L186" i="3"/>
  <c r="P240" i="3"/>
  <c r="U250" i="3"/>
  <c r="L39" i="3"/>
  <c r="U261" i="3"/>
  <c r="Q3" i="3"/>
  <c r="P53" i="3"/>
  <c r="K233" i="3"/>
  <c r="T236" i="3"/>
  <c r="R57" i="3"/>
  <c r="R100" i="3"/>
  <c r="U146" i="3"/>
  <c r="R111" i="3"/>
  <c r="R143" i="3"/>
  <c r="O125" i="3"/>
  <c r="P153" i="3"/>
  <c r="K147" i="3"/>
  <c r="K214" i="3"/>
  <c r="O114" i="3"/>
  <c r="U149" i="3"/>
  <c r="P86" i="3"/>
  <c r="P137" i="3"/>
  <c r="P173" i="3"/>
  <c r="T93" i="3"/>
  <c r="P100" i="3"/>
  <c r="O146" i="3"/>
  <c r="Q158" i="3"/>
  <c r="L111" i="3"/>
  <c r="R98" i="3"/>
  <c r="P77" i="3"/>
  <c r="T23" i="3"/>
  <c r="T223" i="3"/>
  <c r="T3" i="3"/>
  <c r="O255" i="3"/>
  <c r="O173" i="3"/>
  <c r="U53" i="3"/>
  <c r="K163" i="3"/>
  <c r="U233" i="3"/>
  <c r="O233" i="3"/>
  <c r="S93" i="3"/>
  <c r="O234" i="3"/>
  <c r="O221" i="3"/>
  <c r="O236" i="3"/>
  <c r="U198" i="3"/>
  <c r="Q198" i="3"/>
  <c r="K57" i="3"/>
  <c r="P25" i="3"/>
  <c r="O25" i="3"/>
  <c r="S100" i="3"/>
  <c r="T120" i="3"/>
  <c r="P146" i="3"/>
  <c r="T146" i="3"/>
  <c r="S188" i="3"/>
  <c r="O158" i="3"/>
  <c r="P158" i="3"/>
  <c r="P48" i="3"/>
  <c r="L48" i="3"/>
  <c r="K111" i="3"/>
  <c r="R246" i="3"/>
  <c r="S17" i="3"/>
  <c r="U98" i="3"/>
  <c r="S4" i="3"/>
  <c r="R77" i="3"/>
  <c r="S195" i="3"/>
  <c r="S23" i="3"/>
  <c r="S125" i="3"/>
  <c r="R74" i="3"/>
  <c r="U22" i="3"/>
  <c r="R223" i="3"/>
  <c r="Q154" i="3"/>
  <c r="T153" i="3"/>
  <c r="K171" i="3"/>
  <c r="Q64" i="3"/>
  <c r="T150" i="3"/>
  <c r="T147" i="3"/>
  <c r="R172" i="3"/>
  <c r="P207" i="3"/>
  <c r="O109" i="3"/>
  <c r="T184" i="3"/>
  <c r="P231" i="3"/>
  <c r="L136" i="3"/>
  <c r="T16" i="3"/>
  <c r="K177" i="3"/>
  <c r="T66" i="3"/>
  <c r="O129" i="3"/>
  <c r="P176" i="3"/>
  <c r="L41" i="3"/>
  <c r="K44" i="3"/>
  <c r="P169" i="3"/>
  <c r="P92" i="3"/>
  <c r="P208" i="3"/>
  <c r="Q94" i="3"/>
  <c r="L212" i="3"/>
  <c r="R174" i="3"/>
  <c r="O116" i="3"/>
  <c r="P65" i="3"/>
  <c r="T222" i="3"/>
  <c r="Q122" i="3"/>
  <c r="Q186" i="3"/>
  <c r="R240" i="3"/>
  <c r="R250" i="3"/>
  <c r="P39" i="3"/>
  <c r="O75" i="3"/>
  <c r="T173" i="3"/>
  <c r="Q93" i="3"/>
  <c r="Q236" i="3"/>
  <c r="K25" i="3"/>
  <c r="L120" i="3"/>
  <c r="L158" i="3"/>
  <c r="R48" i="3"/>
  <c r="U249" i="3"/>
  <c r="S154" i="3"/>
  <c r="S211" i="3"/>
  <c r="P82" i="3"/>
  <c r="P139" i="3"/>
  <c r="K178" i="3"/>
  <c r="P215" i="3"/>
  <c r="O133" i="3"/>
  <c r="P35" i="3"/>
  <c r="O3" i="3"/>
  <c r="T163" i="3"/>
  <c r="L221" i="3"/>
  <c r="K198" i="3"/>
  <c r="Q188" i="3"/>
  <c r="K48" i="3"/>
  <c r="R132" i="3"/>
  <c r="T118" i="3"/>
  <c r="Q211" i="3"/>
  <c r="S114" i="3"/>
  <c r="S231" i="3"/>
  <c r="R3" i="3"/>
  <c r="U69" i="3"/>
  <c r="L163" i="3"/>
  <c r="L3" i="3"/>
  <c r="K255" i="3"/>
  <c r="S69" i="3"/>
  <c r="L173" i="3"/>
  <c r="S53" i="3"/>
  <c r="P163" i="3"/>
  <c r="R163" i="3"/>
  <c r="L233" i="3"/>
  <c r="R233" i="3"/>
  <c r="R93" i="3"/>
  <c r="R234" i="3"/>
  <c r="S221" i="3"/>
  <c r="U236" i="3"/>
  <c r="P198" i="3"/>
  <c r="S198" i="3"/>
  <c r="L57" i="3"/>
  <c r="Q25" i="3"/>
  <c r="T25" i="3"/>
  <c r="T100" i="3"/>
  <c r="R120" i="3"/>
  <c r="R146" i="3"/>
  <c r="K146" i="3"/>
  <c r="T188" i="3"/>
  <c r="S158" i="3"/>
  <c r="T158" i="3"/>
  <c r="O48" i="3"/>
  <c r="T48" i="3"/>
  <c r="Q111" i="3"/>
  <c r="L246" i="3"/>
  <c r="O17" i="3"/>
  <c r="U143" i="3"/>
  <c r="U84" i="3"/>
  <c r="Q77" i="3"/>
  <c r="O195" i="3"/>
  <c r="O191" i="3"/>
  <c r="P23" i="3"/>
  <c r="L125" i="3"/>
  <c r="P74" i="3"/>
  <c r="P22" i="3"/>
  <c r="L223" i="3"/>
  <c r="L154" i="3"/>
  <c r="Q153" i="3"/>
  <c r="R237" i="3"/>
  <c r="K211" i="3"/>
  <c r="Q150" i="3"/>
  <c r="O147" i="3"/>
  <c r="K172" i="3"/>
  <c r="O82" i="3"/>
  <c r="K79" i="3"/>
  <c r="K109" i="3"/>
  <c r="S184" i="3"/>
  <c r="P149" i="3"/>
  <c r="O170" i="3"/>
  <c r="R16" i="3"/>
  <c r="U177" i="3"/>
  <c r="L129" i="3"/>
  <c r="R176" i="3"/>
  <c r="U41" i="3"/>
  <c r="R44" i="3"/>
  <c r="O169" i="3"/>
  <c r="P178" i="3"/>
  <c r="K208" i="3"/>
  <c r="O205" i="3"/>
  <c r="R215" i="3"/>
  <c r="U65" i="3"/>
  <c r="L222" i="3"/>
  <c r="R133" i="3"/>
  <c r="O130" i="3"/>
  <c r="T240" i="3"/>
  <c r="Q250" i="3"/>
  <c r="O39" i="3"/>
  <c r="T128" i="3"/>
  <c r="O35" i="3"/>
  <c r="S261" i="3"/>
  <c r="U75" i="3"/>
  <c r="L75" i="3"/>
  <c r="K148" i="3"/>
  <c r="R173" i="3"/>
  <c r="L227" i="3"/>
  <c r="R227" i="3"/>
  <c r="Q128" i="3"/>
  <c r="R217" i="3"/>
  <c r="P235" i="3"/>
  <c r="P111" i="3"/>
  <c r="Q246" i="3"/>
  <c r="T17" i="3"/>
  <c r="K17" i="3"/>
  <c r="K98" i="3"/>
  <c r="O143" i="3"/>
  <c r="P143" i="3"/>
  <c r="O132" i="3"/>
  <c r="U132" i="3"/>
  <c r="T4" i="3"/>
  <c r="P4" i="3"/>
  <c r="T84" i="3"/>
  <c r="T77" i="3"/>
  <c r="U195" i="3"/>
  <c r="Q191" i="3"/>
  <c r="L23" i="3"/>
  <c r="P249" i="3"/>
  <c r="L249" i="3"/>
  <c r="Q125" i="3"/>
  <c r="L74" i="3"/>
  <c r="K74" i="3"/>
  <c r="K22" i="3"/>
  <c r="Q118" i="3"/>
  <c r="K118" i="3"/>
  <c r="O223" i="3"/>
  <c r="K154" i="3"/>
  <c r="U154" i="3"/>
  <c r="R153" i="3"/>
  <c r="S153" i="3"/>
  <c r="U237" i="3"/>
  <c r="L237" i="3"/>
  <c r="T171" i="3"/>
  <c r="T211" i="3"/>
  <c r="P211" i="3"/>
  <c r="T64" i="3"/>
  <c r="R150" i="3"/>
  <c r="S147" i="3"/>
  <c r="S214" i="3"/>
  <c r="O214" i="3"/>
  <c r="O172" i="3"/>
  <c r="P114" i="3"/>
  <c r="U207" i="3"/>
  <c r="L207" i="3"/>
  <c r="S82" i="3"/>
  <c r="Q108" i="3"/>
  <c r="L79" i="3"/>
  <c r="P79" i="3"/>
  <c r="R109" i="3"/>
  <c r="L109" i="3"/>
  <c r="P101" i="3"/>
  <c r="O184" i="3"/>
  <c r="U184" i="3"/>
  <c r="U155" i="3"/>
  <c r="U231" i="3"/>
  <c r="S149" i="3"/>
  <c r="L149" i="3"/>
  <c r="Q136" i="3"/>
  <c r="P170" i="3"/>
  <c r="Q170" i="3"/>
  <c r="O16" i="3"/>
  <c r="P16" i="3"/>
  <c r="L238" i="3"/>
  <c r="L177" i="3"/>
  <c r="S177" i="3"/>
  <c r="O67" i="3"/>
  <c r="R66" i="3"/>
  <c r="P129" i="3"/>
  <c r="U95" i="3"/>
  <c r="T95" i="3"/>
  <c r="O139" i="3"/>
  <c r="K176" i="3"/>
  <c r="O176" i="3"/>
  <c r="T86" i="3"/>
  <c r="O260" i="3"/>
  <c r="R41" i="3"/>
  <c r="K41" i="3"/>
  <c r="T235" i="3"/>
  <c r="T216" i="3"/>
  <c r="Q44" i="3"/>
  <c r="L44" i="3"/>
  <c r="Q151" i="3"/>
  <c r="Q169" i="3"/>
  <c r="K169" i="3"/>
  <c r="K92" i="3"/>
  <c r="S92" i="3"/>
  <c r="O178" i="3"/>
  <c r="K137" i="3"/>
  <c r="R208" i="3"/>
  <c r="O208" i="3"/>
  <c r="O94" i="3"/>
  <c r="R94" i="3"/>
  <c r="Q212" i="3"/>
  <c r="P212" i="3"/>
  <c r="S205" i="3"/>
  <c r="K174" i="3"/>
  <c r="S174" i="3"/>
  <c r="O215" i="3"/>
  <c r="U116" i="3"/>
  <c r="P116" i="3"/>
  <c r="K65" i="3"/>
  <c r="O65" i="3"/>
  <c r="Q222" i="3"/>
  <c r="S222" i="3"/>
  <c r="T244" i="3"/>
  <c r="L122" i="3"/>
  <c r="U122" i="3"/>
  <c r="K133" i="3"/>
  <c r="K186" i="3"/>
  <c r="S186" i="3"/>
  <c r="L130" i="3"/>
  <c r="L148" i="3"/>
  <c r="U240" i="3"/>
  <c r="T250" i="3"/>
  <c r="K39" i="3"/>
  <c r="K81" i="3"/>
  <c r="T81" i="3"/>
  <c r="R35" i="3"/>
  <c r="U35" i="3"/>
  <c r="P261" i="3"/>
  <c r="S75" i="3"/>
  <c r="Q75" i="3"/>
  <c r="U148" i="3"/>
  <c r="Q173" i="3"/>
  <c r="S227" i="3"/>
  <c r="U217" i="3"/>
  <c r="P217" i="3"/>
  <c r="U235" i="3"/>
  <c r="U111" i="3"/>
  <c r="S111" i="3"/>
  <c r="S246" i="3"/>
  <c r="L17" i="3"/>
  <c r="Q17" i="3"/>
  <c r="O98" i="3"/>
  <c r="K143" i="3"/>
  <c r="Q143" i="3"/>
  <c r="K132" i="3"/>
  <c r="L132" i="3"/>
  <c r="R4" i="3"/>
  <c r="U4" i="3"/>
  <c r="K84" i="3"/>
  <c r="U77" i="3"/>
  <c r="T195" i="3"/>
  <c r="K191" i="3"/>
  <c r="O23" i="3"/>
  <c r="K249" i="3"/>
  <c r="Q249" i="3"/>
  <c r="U125" i="3"/>
  <c r="T74" i="3"/>
  <c r="U74" i="3"/>
  <c r="S22" i="3"/>
  <c r="P118" i="3"/>
  <c r="U223" i="3"/>
  <c r="P223" i="3"/>
  <c r="T154" i="3"/>
  <c r="O153" i="3"/>
  <c r="P237" i="3"/>
  <c r="O171" i="3"/>
  <c r="L171" i="3"/>
  <c r="U211" i="3"/>
  <c r="P64" i="3"/>
  <c r="U64" i="3"/>
  <c r="Q227" i="3"/>
  <c r="O150" i="3"/>
  <c r="R147" i="3"/>
  <c r="L214" i="3"/>
  <c r="T214" i="3"/>
  <c r="T172" i="3"/>
  <c r="L114" i="3"/>
  <c r="K207" i="3"/>
  <c r="Q207" i="3"/>
  <c r="K82" i="3"/>
  <c r="P108" i="3"/>
  <c r="T79" i="3"/>
  <c r="R79" i="3"/>
  <c r="Q109" i="3"/>
  <c r="P109" i="3"/>
  <c r="U101" i="3"/>
  <c r="K184" i="3"/>
  <c r="L184" i="3"/>
  <c r="O155" i="3"/>
  <c r="T231" i="3"/>
  <c r="Q149" i="3"/>
  <c r="R149" i="3"/>
  <c r="S136" i="3"/>
  <c r="U170" i="3"/>
  <c r="K170" i="3"/>
  <c r="U16" i="3"/>
  <c r="K16" i="3"/>
  <c r="R238" i="3"/>
  <c r="O177" i="3"/>
  <c r="Q177" i="3"/>
  <c r="Q67" i="3"/>
  <c r="S66" i="3"/>
  <c r="K129" i="3"/>
  <c r="Q95" i="3"/>
  <c r="K95" i="3"/>
  <c r="K139" i="3"/>
  <c r="S176" i="3"/>
  <c r="T176" i="3"/>
  <c r="S86" i="3"/>
  <c r="T260" i="3"/>
  <c r="T41" i="3"/>
  <c r="O41" i="3"/>
  <c r="R216" i="3"/>
  <c r="T44" i="3"/>
  <c r="U44" i="3"/>
  <c r="O151" i="3"/>
  <c r="U169" i="3"/>
  <c r="R169" i="3"/>
  <c r="U92" i="3"/>
  <c r="O92" i="3"/>
  <c r="U178" i="3"/>
  <c r="U137" i="3"/>
  <c r="Q208" i="3"/>
  <c r="L208" i="3"/>
  <c r="S94" i="3"/>
  <c r="T94" i="3"/>
  <c r="O212" i="3"/>
  <c r="S212" i="3"/>
  <c r="T205" i="3"/>
  <c r="P174" i="3"/>
  <c r="U215" i="3"/>
  <c r="T215" i="3"/>
  <c r="K116" i="3"/>
  <c r="S65" i="3"/>
  <c r="K222" i="3"/>
  <c r="R244" i="3"/>
  <c r="P244" i="3"/>
  <c r="T245" i="3"/>
  <c r="O122" i="3"/>
  <c r="P122" i="3"/>
  <c r="U133" i="3"/>
  <c r="U186" i="3"/>
  <c r="T186" i="3"/>
  <c r="K130" i="3"/>
  <c r="T148" i="3"/>
  <c r="K240" i="3"/>
  <c r="P250" i="3"/>
  <c r="T39" i="3"/>
  <c r="U81" i="3"/>
  <c r="P81" i="3"/>
  <c r="L35" i="3"/>
  <c r="Q35" i="3"/>
  <c r="K261" i="3"/>
  <c r="R75" i="3"/>
  <c r="P75" i="3"/>
  <c r="S148" i="3"/>
  <c r="T227" i="3"/>
  <c r="K217" i="3"/>
  <c r="K235" i="3"/>
  <c r="O111" i="3"/>
  <c r="O246" i="3"/>
  <c r="U246" i="3"/>
  <c r="R17" i="3"/>
  <c r="L98" i="3"/>
  <c r="T98" i="3"/>
  <c r="S143" i="3"/>
  <c r="P132" i="3"/>
  <c r="K4" i="3"/>
  <c r="P84" i="3"/>
  <c r="L84" i="3"/>
  <c r="L77" i="3"/>
  <c r="K77" i="3"/>
  <c r="R195" i="3"/>
  <c r="K195" i="3"/>
  <c r="U191" i="3"/>
  <c r="T191" i="3"/>
  <c r="K23" i="3"/>
  <c r="R23" i="3"/>
  <c r="S249" i="3"/>
  <c r="T125" i="3"/>
  <c r="K125" i="3"/>
  <c r="Q74" i="3"/>
  <c r="R22" i="3"/>
  <c r="L22" i="3"/>
  <c r="L118" i="3"/>
  <c r="Q223" i="3"/>
  <c r="K223" i="3"/>
  <c r="O154" i="3"/>
  <c r="U153" i="3"/>
  <c r="T237" i="3"/>
  <c r="U171" i="3"/>
  <c r="R171" i="3"/>
  <c r="R211" i="3"/>
  <c r="O64" i="3"/>
  <c r="L64" i="3"/>
  <c r="P227" i="3"/>
  <c r="L150" i="3"/>
  <c r="L147" i="3"/>
  <c r="P214" i="3"/>
  <c r="S172" i="3"/>
  <c r="L172" i="3"/>
  <c r="R114" i="3"/>
  <c r="O207" i="3"/>
  <c r="T82" i="3"/>
  <c r="U82" i="3"/>
  <c r="R108" i="3"/>
  <c r="O79" i="3"/>
  <c r="S79" i="3"/>
  <c r="U109" i="3"/>
  <c r="T109" i="3"/>
  <c r="S101" i="3"/>
  <c r="P184" i="3"/>
  <c r="R184" i="3"/>
  <c r="Q155" i="3"/>
  <c r="O231" i="3"/>
  <c r="K149" i="3"/>
  <c r="O149" i="3"/>
  <c r="P136" i="3"/>
  <c r="R170" i="3"/>
  <c r="T170" i="3"/>
  <c r="L16" i="3"/>
  <c r="Q16" i="3"/>
  <c r="P238" i="3"/>
  <c r="P177" i="3"/>
  <c r="R177" i="3"/>
  <c r="P67" i="3"/>
  <c r="P66" i="3"/>
  <c r="R129" i="3"/>
  <c r="O95" i="3"/>
  <c r="R95" i="3"/>
  <c r="U139" i="3"/>
  <c r="T139" i="3"/>
  <c r="U176" i="3"/>
  <c r="R86" i="3"/>
  <c r="L86" i="3"/>
  <c r="R260" i="3"/>
  <c r="U260" i="3"/>
  <c r="P41" i="3"/>
  <c r="S216" i="3"/>
  <c r="P44" i="3"/>
  <c r="S44" i="3"/>
  <c r="R151" i="3"/>
  <c r="L169" i="3"/>
  <c r="T169" i="3"/>
  <c r="T92" i="3"/>
  <c r="Q92" i="3"/>
  <c r="T178" i="3"/>
  <c r="O137" i="3"/>
  <c r="S208" i="3"/>
  <c r="U208" i="3"/>
  <c r="L94" i="3"/>
  <c r="R212" i="3"/>
  <c r="R205" i="3"/>
  <c r="P205" i="3"/>
  <c r="U174" i="3"/>
  <c r="S215" i="3"/>
  <c r="K215" i="3"/>
  <c r="Q116" i="3"/>
  <c r="L65" i="3"/>
  <c r="P222" i="3"/>
  <c r="U244" i="3"/>
  <c r="Q244" i="3"/>
  <c r="S245" i="3"/>
  <c r="K122" i="3"/>
  <c r="R122" i="3"/>
  <c r="P133" i="3"/>
  <c r="P186" i="3"/>
  <c r="R186" i="3"/>
  <c r="Q130" i="3"/>
  <c r="L240" i="3"/>
  <c r="O240" i="3"/>
  <c r="S250" i="3"/>
  <c r="O250" i="3"/>
  <c r="U39" i="3"/>
  <c r="S39" i="3"/>
  <c r="Q81" i="3"/>
  <c r="K35" i="3"/>
  <c r="R261" i="3"/>
  <c r="L261" i="3"/>
  <c r="K75" i="3"/>
  <c r="Q148" i="3"/>
  <c r="O227" i="3"/>
  <c r="S217" i="3"/>
  <c r="O235" i="3"/>
  <c r="L153" i="3"/>
  <c r="S237" i="3"/>
  <c r="P171" i="3"/>
  <c r="S171" i="3"/>
  <c r="L211" i="3"/>
  <c r="K64" i="3"/>
  <c r="S64" i="3"/>
  <c r="K150" i="3"/>
  <c r="S150" i="3"/>
  <c r="U147" i="3"/>
  <c r="P147" i="3"/>
  <c r="U214" i="3"/>
  <c r="U172" i="3"/>
  <c r="Q172" i="3"/>
  <c r="U114" i="3"/>
  <c r="S207" i="3"/>
  <c r="L82" i="3"/>
  <c r="R82" i="3"/>
  <c r="K108" i="3"/>
  <c r="U79" i="3"/>
  <c r="S109" i="3"/>
  <c r="O101" i="3"/>
  <c r="T101" i="3"/>
  <c r="Q184" i="3"/>
  <c r="S155" i="3"/>
  <c r="K155" i="3"/>
  <c r="K231" i="3"/>
  <c r="L231" i="3"/>
  <c r="T149" i="3"/>
  <c r="O136" i="3"/>
  <c r="T136" i="3"/>
  <c r="S170" i="3"/>
  <c r="S16" i="3"/>
  <c r="S238" i="3"/>
  <c r="T238" i="3"/>
  <c r="T177" i="3"/>
  <c r="S67" i="3"/>
  <c r="L67" i="3"/>
  <c r="U66" i="3"/>
  <c r="O66" i="3"/>
  <c r="Q129" i="3"/>
  <c r="S129" i="3"/>
  <c r="L95" i="3"/>
  <c r="L217" i="3"/>
  <c r="Q139" i="3"/>
  <c r="R139" i="3"/>
  <c r="L176" i="3"/>
  <c r="O86" i="3"/>
  <c r="U86" i="3"/>
  <c r="Q260" i="3"/>
  <c r="S260" i="3"/>
  <c r="S41" i="3"/>
  <c r="K216" i="3"/>
  <c r="U216" i="3"/>
  <c r="O44" i="3"/>
  <c r="S151" i="3"/>
  <c r="L151" i="3"/>
  <c r="S169" i="3"/>
  <c r="L92" i="3"/>
  <c r="L178" i="3"/>
  <c r="Q178" i="3"/>
  <c r="Q137" i="3"/>
  <c r="R137" i="3"/>
  <c r="T208" i="3"/>
  <c r="U94" i="3"/>
  <c r="T212" i="3"/>
  <c r="U205" i="3"/>
  <c r="Q205" i="3"/>
  <c r="T174" i="3"/>
  <c r="L215" i="3"/>
  <c r="Q215" i="3"/>
  <c r="R116" i="3"/>
  <c r="Q65" i="3"/>
  <c r="U222" i="3"/>
  <c r="L244" i="3"/>
  <c r="O244" i="3"/>
  <c r="S122" i="3"/>
  <c r="T133" i="3"/>
  <c r="S133" i="3"/>
  <c r="O186" i="3"/>
  <c r="P130" i="3"/>
  <c r="R130" i="3"/>
  <c r="Q240" i="3"/>
  <c r="S240" i="3"/>
  <c r="K250" i="3"/>
  <c r="L250" i="3"/>
  <c r="Q39" i="3"/>
  <c r="R39" i="3"/>
  <c r="O81" i="3"/>
  <c r="S35" i="3"/>
  <c r="O261" i="3"/>
  <c r="T261" i="3"/>
  <c r="T75" i="3"/>
  <c r="R148" i="3"/>
  <c r="U227" i="3"/>
  <c r="S128" i="3"/>
  <c r="O217" i="3"/>
  <c r="Q235" i="3"/>
  <c r="Q61" i="3"/>
  <c r="K50" i="3"/>
  <c r="L145" i="3"/>
  <c r="K31" i="3"/>
  <c r="S72" i="3"/>
  <c r="Q134" i="3"/>
  <c r="L274" i="3"/>
  <c r="Q135" i="3"/>
  <c r="Q24" i="3"/>
  <c r="K24" i="3"/>
  <c r="T253" i="3"/>
  <c r="L166" i="3"/>
  <c r="U166" i="3"/>
  <c r="P73" i="3"/>
  <c r="R73" i="3"/>
  <c r="U14" i="3"/>
  <c r="K159" i="3"/>
  <c r="L104" i="3"/>
  <c r="P104" i="3"/>
  <c r="P76" i="3"/>
  <c r="Q76" i="3"/>
  <c r="T105" i="3"/>
  <c r="P20" i="3"/>
  <c r="S20" i="3"/>
  <c r="O15" i="3"/>
  <c r="R267" i="3"/>
  <c r="R141" i="3"/>
  <c r="S141" i="3"/>
  <c r="Q40" i="3"/>
  <c r="O40" i="3"/>
  <c r="K248" i="3"/>
  <c r="T248" i="3"/>
  <c r="P175" i="3"/>
  <c r="O58" i="3"/>
  <c r="S58" i="3"/>
  <c r="S121" i="3"/>
  <c r="T121" i="3"/>
  <c r="R179" i="3"/>
  <c r="S179" i="3"/>
  <c r="P18" i="3"/>
  <c r="T18" i="3"/>
  <c r="O209" i="3"/>
  <c r="U49" i="3"/>
  <c r="R49" i="3"/>
  <c r="Q210" i="3"/>
  <c r="S219" i="3"/>
  <c r="Q54" i="3"/>
  <c r="R54" i="3"/>
  <c r="O89" i="3"/>
  <c r="R88" i="3"/>
  <c r="O68" i="3"/>
  <c r="K68" i="3"/>
  <c r="S97" i="3"/>
  <c r="L126" i="3"/>
  <c r="S126" i="3"/>
  <c r="O247" i="3"/>
  <c r="T247" i="3"/>
  <c r="L99" i="3"/>
  <c r="R164" i="3"/>
  <c r="K282" i="3"/>
  <c r="P282" i="3"/>
  <c r="O296" i="3"/>
  <c r="U296" i="3"/>
  <c r="Q168" i="3"/>
  <c r="U180" i="3"/>
  <c r="O55" i="3"/>
  <c r="U119" i="3"/>
  <c r="O254" i="3"/>
  <c r="Q12" i="3"/>
  <c r="T12" i="3"/>
  <c r="T197" i="3"/>
  <c r="Q197" i="3"/>
  <c r="S152" i="3"/>
  <c r="K307" i="3"/>
  <c r="O29" i="3"/>
  <c r="K145" i="3"/>
  <c r="R218" i="3"/>
  <c r="K9" i="3"/>
  <c r="O259" i="3"/>
  <c r="L259" i="3"/>
  <c r="O131" i="3"/>
  <c r="P61" i="3"/>
  <c r="L50" i="3"/>
  <c r="P50" i="3"/>
  <c r="U29" i="3"/>
  <c r="Q145" i="3"/>
  <c r="O145" i="3"/>
  <c r="T230" i="3"/>
  <c r="U13" i="3"/>
  <c r="P13" i="3"/>
  <c r="O218" i="3"/>
  <c r="K218" i="3"/>
  <c r="U31" i="3"/>
  <c r="P31" i="3"/>
  <c r="R19" i="3"/>
  <c r="L19" i="3"/>
  <c r="S258" i="3"/>
  <c r="T258" i="3"/>
  <c r="R9" i="3"/>
  <c r="P72" i="3"/>
  <c r="R72" i="3"/>
  <c r="S134" i="3"/>
  <c r="R134" i="3"/>
  <c r="T103" i="3"/>
  <c r="T252" i="3"/>
  <c r="O90" i="3"/>
  <c r="R140" i="3"/>
  <c r="U274" i="3"/>
  <c r="U71" i="3"/>
  <c r="T32" i="3"/>
  <c r="Q45" i="3"/>
  <c r="L45" i="3"/>
  <c r="P135" i="3"/>
  <c r="K142" i="3"/>
  <c r="R142" i="3"/>
  <c r="T24" i="3"/>
  <c r="P24" i="3"/>
  <c r="P253" i="3"/>
  <c r="P166" i="3"/>
  <c r="K166" i="3"/>
  <c r="T73" i="3"/>
  <c r="Q73" i="3"/>
  <c r="T14" i="3"/>
  <c r="K33" i="3"/>
  <c r="P159" i="3"/>
  <c r="U104" i="3"/>
  <c r="T76" i="3"/>
  <c r="O105" i="3"/>
  <c r="K105" i="3"/>
  <c r="R20" i="3"/>
  <c r="U15" i="3"/>
  <c r="R15" i="3"/>
  <c r="P267" i="3"/>
  <c r="S267" i="3"/>
  <c r="K141" i="3"/>
  <c r="Q141" i="3"/>
  <c r="S40" i="3"/>
  <c r="R40" i="3"/>
  <c r="Q248" i="3"/>
  <c r="P248" i="3"/>
  <c r="S175" i="3"/>
  <c r="T58" i="3"/>
  <c r="P58" i="3"/>
  <c r="U121" i="3"/>
  <c r="L121" i="3"/>
  <c r="U179" i="3"/>
  <c r="L179" i="3"/>
  <c r="O18" i="3"/>
  <c r="R18" i="3"/>
  <c r="R209" i="3"/>
  <c r="P49" i="3"/>
  <c r="K210" i="3"/>
  <c r="O210" i="3"/>
  <c r="R219" i="3"/>
  <c r="K219" i="3"/>
  <c r="U54" i="3"/>
  <c r="U89" i="3"/>
  <c r="Q89" i="3"/>
  <c r="P88" i="3"/>
  <c r="T88" i="3"/>
  <c r="S68" i="3"/>
  <c r="R68" i="3"/>
  <c r="T97" i="3"/>
  <c r="T126" i="3"/>
  <c r="K126" i="3"/>
  <c r="U247" i="3"/>
  <c r="K247" i="3"/>
  <c r="U99" i="3"/>
  <c r="L282" i="3"/>
  <c r="T296" i="3"/>
  <c r="R168" i="3"/>
  <c r="K168" i="3"/>
  <c r="Q180" i="3"/>
  <c r="S55" i="3"/>
  <c r="P119" i="3"/>
  <c r="K254" i="3"/>
  <c r="O12" i="3"/>
  <c r="S12" i="3"/>
  <c r="P197" i="3"/>
  <c r="L197" i="3"/>
  <c r="L152" i="3"/>
  <c r="U259" i="3"/>
  <c r="L90" i="3"/>
  <c r="O45" i="3"/>
  <c r="P259" i="3"/>
  <c r="S259" i="3"/>
  <c r="K131" i="3"/>
  <c r="Q131" i="3"/>
  <c r="R61" i="3"/>
  <c r="O61" i="3"/>
  <c r="O50" i="3"/>
  <c r="P29" i="3"/>
  <c r="P145" i="3"/>
  <c r="Q230" i="3"/>
  <c r="U230" i="3"/>
  <c r="R13" i="3"/>
  <c r="Q218" i="3"/>
  <c r="Q31" i="3"/>
  <c r="T19" i="3"/>
  <c r="R258" i="3"/>
  <c r="S9" i="3"/>
  <c r="O72" i="3"/>
  <c r="Q72" i="3"/>
  <c r="U134" i="3"/>
  <c r="T134" i="3"/>
  <c r="S103" i="3"/>
  <c r="P252" i="3"/>
  <c r="Q252" i="3"/>
  <c r="T90" i="3"/>
  <c r="T140" i="3"/>
  <c r="Q71" i="3"/>
  <c r="O71" i="3"/>
  <c r="R32" i="3"/>
  <c r="K32" i="3"/>
  <c r="S45" i="3"/>
  <c r="R135" i="3"/>
  <c r="T142" i="3"/>
  <c r="U142" i="3"/>
  <c r="L24" i="3"/>
  <c r="S24" i="3"/>
  <c r="S253" i="3"/>
  <c r="T166" i="3"/>
  <c r="O166" i="3"/>
  <c r="K73" i="3"/>
  <c r="L73" i="3"/>
  <c r="P14" i="3"/>
  <c r="P33" i="3"/>
  <c r="U159" i="3"/>
  <c r="R159" i="3"/>
  <c r="T104" i="3"/>
  <c r="K76" i="3"/>
  <c r="P105" i="3"/>
  <c r="R105" i="3"/>
  <c r="Q20" i="3"/>
  <c r="Q15" i="3"/>
  <c r="S15" i="3"/>
  <c r="O267" i="3"/>
  <c r="Q267" i="3"/>
  <c r="O141" i="3"/>
  <c r="L141" i="3"/>
  <c r="L40" i="3"/>
  <c r="O248" i="3"/>
  <c r="L175" i="3"/>
  <c r="O175" i="3"/>
  <c r="L58" i="3"/>
  <c r="Q121" i="3"/>
  <c r="T179" i="3"/>
  <c r="S18" i="3"/>
  <c r="T209" i="3"/>
  <c r="P209" i="3"/>
  <c r="S49" i="3"/>
  <c r="P210" i="3"/>
  <c r="T210" i="3"/>
  <c r="U219" i="3"/>
  <c r="P219" i="3"/>
  <c r="S54" i="3"/>
  <c r="S89" i="3"/>
  <c r="P89" i="3"/>
  <c r="O88" i="3"/>
  <c r="K88" i="3"/>
  <c r="U68" i="3"/>
  <c r="L68" i="3"/>
  <c r="Q97" i="3"/>
  <c r="U126" i="3"/>
  <c r="P126" i="3"/>
  <c r="P247" i="3"/>
  <c r="Q247" i="3"/>
  <c r="S99" i="3"/>
  <c r="R99" i="3"/>
  <c r="S282" i="3"/>
  <c r="Q296" i="3"/>
  <c r="L168" i="3"/>
  <c r="T168" i="3"/>
  <c r="S180" i="3"/>
  <c r="L55" i="3"/>
  <c r="T119" i="3"/>
  <c r="P254" i="3"/>
  <c r="U12" i="3"/>
  <c r="K12" i="3"/>
  <c r="O197" i="3"/>
  <c r="K197" i="3"/>
  <c r="P152" i="3"/>
  <c r="S31" i="3"/>
  <c r="U19" i="3"/>
  <c r="K258" i="3"/>
  <c r="U103" i="3"/>
  <c r="Q33" i="3"/>
  <c r="K259" i="3"/>
  <c r="P131" i="3"/>
  <c r="R131" i="3"/>
  <c r="U61" i="3"/>
  <c r="K61" i="3"/>
  <c r="Q50" i="3"/>
  <c r="R29" i="3"/>
  <c r="R145" i="3"/>
  <c r="O230" i="3"/>
  <c r="K230" i="3"/>
  <c r="Q13" i="3"/>
  <c r="T218" i="3"/>
  <c r="T31" i="3"/>
  <c r="P19" i="3"/>
  <c r="O258" i="3"/>
  <c r="K72" i="3"/>
  <c r="L134" i="3"/>
  <c r="L103" i="3"/>
  <c r="Q103" i="3"/>
  <c r="U252" i="3"/>
  <c r="O252" i="3"/>
  <c r="K90" i="3"/>
  <c r="O140" i="3"/>
  <c r="K140" i="3"/>
  <c r="O274" i="3"/>
  <c r="P71" i="3"/>
  <c r="K71" i="3"/>
  <c r="Q32" i="3"/>
  <c r="S32" i="3"/>
  <c r="U45" i="3"/>
  <c r="T135" i="3"/>
  <c r="O142" i="3"/>
  <c r="O24" i="3"/>
  <c r="O253" i="3"/>
  <c r="K253" i="3"/>
  <c r="R166" i="3"/>
  <c r="O73" i="3"/>
  <c r="R14" i="3"/>
  <c r="O14" i="3"/>
  <c r="L33" i="3"/>
  <c r="R33" i="3"/>
  <c r="L96" i="3"/>
  <c r="O159" i="3"/>
  <c r="T159" i="3"/>
  <c r="S104" i="3"/>
  <c r="S76" i="3"/>
  <c r="L105" i="3"/>
  <c r="Q105" i="3"/>
  <c r="K20" i="3"/>
  <c r="T15" i="3"/>
  <c r="L15" i="3"/>
  <c r="U267" i="3"/>
  <c r="K267" i="3"/>
  <c r="P141" i="3"/>
  <c r="T40" i="3"/>
  <c r="U248" i="3"/>
  <c r="T175" i="3"/>
  <c r="Q175" i="3"/>
  <c r="K58" i="3"/>
  <c r="O121" i="3"/>
  <c r="O179" i="3"/>
  <c r="L18" i="3"/>
  <c r="L209" i="3"/>
  <c r="S209" i="3"/>
  <c r="K49" i="3"/>
  <c r="L210" i="3"/>
  <c r="S210" i="3"/>
  <c r="T219" i="3"/>
  <c r="Q219" i="3"/>
  <c r="T54" i="3"/>
  <c r="T89" i="3"/>
  <c r="K89" i="3"/>
  <c r="U88" i="3"/>
  <c r="S88" i="3"/>
  <c r="P68" i="3"/>
  <c r="T278" i="3"/>
  <c r="R97" i="3"/>
  <c r="P97" i="3"/>
  <c r="O126" i="3"/>
  <c r="S247" i="3"/>
  <c r="Q99" i="3"/>
  <c r="P99" i="3"/>
  <c r="O282" i="3"/>
  <c r="R296" i="3"/>
  <c r="S168" i="3"/>
  <c r="P168" i="3"/>
  <c r="Q55" i="3"/>
  <c r="R55" i="3"/>
  <c r="K119" i="3"/>
  <c r="T254" i="3"/>
  <c r="Q254" i="3"/>
  <c r="P12" i="3"/>
  <c r="R197" i="3"/>
  <c r="O152" i="3"/>
  <c r="K152" i="3"/>
  <c r="R230" i="3"/>
  <c r="T13" i="3"/>
  <c r="P218" i="3"/>
  <c r="K19" i="3"/>
  <c r="Q90" i="3"/>
  <c r="P32" i="3"/>
  <c r="S142" i="3"/>
  <c r="Q259" i="3"/>
  <c r="L131" i="3"/>
  <c r="U131" i="3"/>
  <c r="L61" i="3"/>
  <c r="T61" i="3"/>
  <c r="U50" i="3"/>
  <c r="S29" i="3"/>
  <c r="U145" i="3"/>
  <c r="L230" i="3"/>
  <c r="S230" i="3"/>
  <c r="K13" i="3"/>
  <c r="U218" i="3"/>
  <c r="L31" i="3"/>
  <c r="S19" i="3"/>
  <c r="L258" i="3"/>
  <c r="T72" i="3"/>
  <c r="K134" i="3"/>
  <c r="O103" i="3"/>
  <c r="P103" i="3"/>
  <c r="R252" i="3"/>
  <c r="K252" i="3"/>
  <c r="R90" i="3"/>
  <c r="P90" i="3"/>
  <c r="L140" i="3"/>
  <c r="Q140" i="3"/>
  <c r="T274" i="3"/>
  <c r="L71" i="3"/>
  <c r="T71" i="3"/>
  <c r="O32" i="3"/>
  <c r="U32" i="3"/>
  <c r="T45" i="3"/>
  <c r="O135" i="3"/>
  <c r="S135" i="3"/>
  <c r="P142" i="3"/>
  <c r="R24" i="3"/>
  <c r="L253" i="3"/>
  <c r="U253" i="3"/>
  <c r="Q166" i="3"/>
  <c r="S73" i="3"/>
  <c r="L14" i="3"/>
  <c r="K14" i="3"/>
  <c r="O33" i="3"/>
  <c r="T33" i="3"/>
  <c r="S96" i="3"/>
  <c r="Q159" i="3"/>
  <c r="L159" i="3"/>
  <c r="Q104" i="3"/>
  <c r="R104" i="3"/>
  <c r="U76" i="3"/>
  <c r="L76" i="3"/>
  <c r="S105" i="3"/>
  <c r="U20" i="3"/>
  <c r="L20" i="3"/>
  <c r="P15" i="3"/>
  <c r="T267" i="3"/>
  <c r="T141" i="3"/>
  <c r="U40" i="3"/>
  <c r="S248" i="3"/>
  <c r="R175" i="3"/>
  <c r="K175" i="3"/>
  <c r="U58" i="3"/>
  <c r="P121" i="3"/>
  <c r="P179" i="3"/>
  <c r="U18" i="3"/>
  <c r="K209" i="3"/>
  <c r="Q209" i="3"/>
  <c r="L49" i="3"/>
  <c r="O49" i="3"/>
  <c r="U210" i="3"/>
  <c r="L219" i="3"/>
  <c r="P54" i="3"/>
  <c r="K54" i="3"/>
  <c r="R89" i="3"/>
  <c r="Q88" i="3"/>
  <c r="Q68" i="3"/>
  <c r="S278" i="3"/>
  <c r="L97" i="3"/>
  <c r="K97" i="3"/>
  <c r="Q126" i="3"/>
  <c r="L247" i="3"/>
  <c r="O99" i="3"/>
  <c r="T99" i="3"/>
  <c r="Q282" i="3"/>
  <c r="U282" i="3"/>
  <c r="P296" i="3"/>
  <c r="L296" i="3"/>
  <c r="U168" i="3"/>
  <c r="K55" i="3"/>
  <c r="T55" i="3"/>
  <c r="S119" i="3"/>
  <c r="L254" i="3"/>
  <c r="U254" i="3"/>
  <c r="R12" i="3"/>
  <c r="U197" i="3"/>
  <c r="U152" i="3"/>
  <c r="T152" i="3"/>
  <c r="R259" i="3"/>
  <c r="S131" i="3"/>
  <c r="T50" i="3"/>
  <c r="S13" i="3"/>
  <c r="Q258" i="3"/>
  <c r="U72" i="3"/>
  <c r="O134" i="3"/>
  <c r="L252" i="3"/>
  <c r="S140" i="3"/>
  <c r="R71" i="3"/>
  <c r="P45" i="3"/>
  <c r="U135" i="3"/>
  <c r="Q142" i="3"/>
  <c r="T259" i="3"/>
  <c r="T131" i="3"/>
  <c r="S61" i="3"/>
  <c r="R50" i="3"/>
  <c r="S50" i="3"/>
  <c r="L29" i="3"/>
  <c r="S145" i="3"/>
  <c r="T145" i="3"/>
  <c r="P230" i="3"/>
  <c r="L13" i="3"/>
  <c r="O13" i="3"/>
  <c r="S218" i="3"/>
  <c r="L218" i="3"/>
  <c r="O31" i="3"/>
  <c r="R31" i="3"/>
  <c r="Q19" i="3"/>
  <c r="O19" i="3"/>
  <c r="P258" i="3"/>
  <c r="U258" i="3"/>
  <c r="L9" i="3"/>
  <c r="L72" i="3"/>
  <c r="P134" i="3"/>
  <c r="R103" i="3"/>
  <c r="K103" i="3"/>
  <c r="S252" i="3"/>
  <c r="S90" i="3"/>
  <c r="U90" i="3"/>
  <c r="U140" i="3"/>
  <c r="P140" i="3"/>
  <c r="Q274" i="3"/>
  <c r="S71" i="3"/>
  <c r="L32" i="3"/>
  <c r="K45" i="3"/>
  <c r="R45" i="3"/>
  <c r="L135" i="3"/>
  <c r="K135" i="3"/>
  <c r="L142" i="3"/>
  <c r="U24" i="3"/>
  <c r="Q253" i="3"/>
  <c r="R253" i="3"/>
  <c r="S166" i="3"/>
  <c r="U73" i="3"/>
  <c r="Q14" i="3"/>
  <c r="S14" i="3"/>
  <c r="U33" i="3"/>
  <c r="S33" i="3"/>
  <c r="S159" i="3"/>
  <c r="K104" i="3"/>
  <c r="O104" i="3"/>
  <c r="O76" i="3"/>
  <c r="R76" i="3"/>
  <c r="U105" i="3"/>
  <c r="O20" i="3"/>
  <c r="T20" i="3"/>
  <c r="K15" i="3"/>
  <c r="L267" i="3"/>
  <c r="U141" i="3"/>
  <c r="K40" i="3"/>
  <c r="P40" i="3"/>
  <c r="L248" i="3"/>
  <c r="R248" i="3"/>
  <c r="U175" i="3"/>
  <c r="R58" i="3"/>
  <c r="Q58" i="3"/>
  <c r="R121" i="3"/>
  <c r="K121" i="3"/>
  <c r="Q179" i="3"/>
  <c r="K179" i="3"/>
  <c r="K18" i="3"/>
  <c r="Q18" i="3"/>
  <c r="U209" i="3"/>
  <c r="T49" i="3"/>
  <c r="Q49" i="3"/>
  <c r="R210" i="3"/>
  <c r="O219" i="3"/>
  <c r="O54" i="3"/>
  <c r="L54" i="3"/>
  <c r="L89" i="3"/>
  <c r="L88" i="3"/>
  <c r="T68" i="3"/>
  <c r="K278" i="3"/>
  <c r="U97" i="3"/>
  <c r="O97" i="3"/>
  <c r="R126" i="3"/>
  <c r="R247" i="3"/>
  <c r="K99" i="3"/>
  <c r="K164" i="3"/>
  <c r="T282" i="3"/>
  <c r="R282" i="3"/>
  <c r="K296" i="3"/>
  <c r="S296" i="3"/>
  <c r="O168" i="3"/>
  <c r="P55" i="3"/>
  <c r="U55" i="3"/>
  <c r="L119" i="3"/>
  <c r="S254" i="3"/>
  <c r="R254" i="3"/>
  <c r="L12" i="3"/>
  <c r="S197" i="3"/>
  <c r="Q152" i="3"/>
  <c r="R152" i="3"/>
  <c r="Q30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White III, Richard A. (CONTR)</author>
  </authors>
  <commentList>
    <comment ref="M1" authorId="0" shapeId="0" xr:uid="{E7A52090-DB52-4199-B67E-60F17BF87646}">
      <text>
        <r>
          <rPr>
            <b/>
            <sz val="12"/>
            <color indexed="81"/>
            <rFont val="Tahoma"/>
            <family val="2"/>
          </rPr>
          <t>White III, Richard A. (CONTR):</t>
        </r>
        <r>
          <rPr>
            <sz val="12"/>
            <color indexed="81"/>
            <rFont val="Tahoma"/>
            <family val="2"/>
          </rPr>
          <t xml:space="preserve">
Separate multiple Subrecipients and Vendors with a semicolon (;)</t>
        </r>
      </text>
    </comment>
    <comment ref="M2" authorId="0" shapeId="0" xr:uid="{42BC0B3D-3A69-474D-8322-7596B40DC97C}">
      <text>
        <r>
          <rPr>
            <b/>
            <sz val="12"/>
            <color indexed="81"/>
            <rFont val="Tahoma"/>
            <family val="2"/>
          </rPr>
          <t>White III, Richard A. (CONTR):</t>
        </r>
        <r>
          <rPr>
            <sz val="12"/>
            <color indexed="81"/>
            <rFont val="Tahoma"/>
            <family val="2"/>
          </rPr>
          <t xml:space="preserve">
Separate multiple Subrecipients and Vendors with a semicolon (;)</t>
        </r>
      </text>
    </comment>
    <comment ref="N2" authorId="0" shapeId="0" xr:uid="{B2B28589-7305-4138-AD60-A82D663C07B8}">
      <text>
        <r>
          <rPr>
            <b/>
            <sz val="12"/>
            <color indexed="81"/>
            <rFont val="Tahoma"/>
            <family val="2"/>
          </rPr>
          <t>White III, Richard A. (CONTR):</t>
        </r>
        <r>
          <rPr>
            <sz val="12"/>
            <color indexed="81"/>
            <rFont val="Tahoma"/>
            <family val="2"/>
          </rPr>
          <t xml:space="preserve">
Separate multiple Subrecipients and Vendors with a semicolon (;)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<sst xmlns="http://schemas.openxmlformats.org/spreadsheetml/2006/main" count="1100" uniqueCount="586">
  <si>
    <t>Control Number</t>
  </si>
  <si>
    <t>Yes</t>
  </si>
  <si>
    <t>Application Data Capture</t>
  </si>
  <si>
    <t>Signed Selection Statement</t>
  </si>
  <si>
    <t>Location of Work Document</t>
  </si>
  <si>
    <t>Award CID</t>
  </si>
  <si>
    <t>Topic Area</t>
  </si>
  <si>
    <t>Lead Organization</t>
  </si>
  <si>
    <t>Project Title</t>
  </si>
  <si>
    <t>Submitted LOI</t>
  </si>
  <si>
    <t>Determination</t>
  </si>
  <si>
    <t>Submitted Application</t>
  </si>
  <si>
    <t>Application Determination</t>
  </si>
  <si>
    <t>DOE Share</t>
  </si>
  <si>
    <t>Cost Share</t>
  </si>
  <si>
    <t>Total Project Costs</t>
  </si>
  <si>
    <t>Federal Technical Merit Rating</t>
  </si>
  <si>
    <t>PPF Applied?</t>
  </si>
  <si>
    <t>Conditionally Selected</t>
  </si>
  <si>
    <t>LOW 1 - Street Address</t>
  </si>
  <si>
    <t>LOW 1 - City</t>
  </si>
  <si>
    <t>LOW 1 - State</t>
  </si>
  <si>
    <t>LOW 1 - Zip</t>
  </si>
  <si>
    <t>LOW 2 - Street Address</t>
  </si>
  <si>
    <t>LOW 2 - City</t>
  </si>
  <si>
    <t>LOW 2 - State</t>
  </si>
  <si>
    <t>LOW 2 - Zip</t>
  </si>
  <si>
    <t>LOW 3 - Street Address</t>
  </si>
  <si>
    <t>LOW 3 - City</t>
  </si>
  <si>
    <t>LOW 3 - State</t>
  </si>
  <si>
    <t>LOW 3 - Zip</t>
  </si>
  <si>
    <t>LOW 4 - Street Address</t>
  </si>
  <si>
    <t>LOW 4 - City</t>
  </si>
  <si>
    <t>LOW 4 - State</t>
  </si>
  <si>
    <t>LOW 4 - Zip</t>
  </si>
  <si>
    <t>Letters of Intent  -------------------------------&gt;</t>
  </si>
  <si>
    <t>Concept Papers  --------------------------&gt;</t>
  </si>
  <si>
    <t>Application Packet</t>
  </si>
  <si>
    <t>Subrecipients</t>
  </si>
  <si>
    <t>Vendors</t>
  </si>
  <si>
    <t>Notes</t>
  </si>
  <si>
    <t>FOA</t>
  </si>
  <si>
    <t>Applicant Share</t>
  </si>
  <si>
    <t>DE-FOA-0002866</t>
  </si>
  <si>
    <t>2866-1502</t>
  </si>
  <si>
    <t>2866-1504</t>
  </si>
  <si>
    <t>2866-1506</t>
  </si>
  <si>
    <t>2866-1507</t>
  </si>
  <si>
    <t>2866-1508</t>
  </si>
  <si>
    <t>2866-1509</t>
  </si>
  <si>
    <t>2866-1510</t>
  </si>
  <si>
    <t>2866-1511</t>
  </si>
  <si>
    <t>2866-1512</t>
  </si>
  <si>
    <t>2866-1513</t>
  </si>
  <si>
    <t>2866-1514</t>
  </si>
  <si>
    <t>2866-1515</t>
  </si>
  <si>
    <t>2866-1516</t>
  </si>
  <si>
    <t>2866-1517</t>
  </si>
  <si>
    <t>2866-1518</t>
  </si>
  <si>
    <t>2866-1519</t>
  </si>
  <si>
    <t>2866-1520</t>
  </si>
  <si>
    <t>2866-1521</t>
  </si>
  <si>
    <t>DE-FOA-0002987</t>
  </si>
  <si>
    <t>2987-1518</t>
  </si>
  <si>
    <t>2987-1552</t>
  </si>
  <si>
    <t>2987-1544</t>
  </si>
  <si>
    <t>2987-1530</t>
  </si>
  <si>
    <t>2987-1539</t>
  </si>
  <si>
    <t>2987-1515</t>
  </si>
  <si>
    <t>2987-1533</t>
  </si>
  <si>
    <t>2987-1553</t>
  </si>
  <si>
    <t>2987-1506</t>
  </si>
  <si>
    <t>2987-1514</t>
  </si>
  <si>
    <t>2987-1547</t>
  </si>
  <si>
    <t>2987-1517</t>
  </si>
  <si>
    <t>2987-1504</t>
  </si>
  <si>
    <t>2987-1548</t>
  </si>
  <si>
    <t>2987-1551</t>
  </si>
  <si>
    <t>2987-1536</t>
  </si>
  <si>
    <t>2987-1546</t>
  </si>
  <si>
    <t>DE-FOA-0003099</t>
  </si>
  <si>
    <t>3099-1511</t>
  </si>
  <si>
    <t>3099-1533</t>
  </si>
  <si>
    <t>3099-1536</t>
  </si>
  <si>
    <t>3099-1579</t>
  </si>
  <si>
    <t>3099-1597</t>
  </si>
  <si>
    <t>3099-1615</t>
  </si>
  <si>
    <t>3099-1645</t>
  </si>
  <si>
    <t>3099-1733</t>
  </si>
  <si>
    <t>3099-1744</t>
  </si>
  <si>
    <t>3099-1776</t>
  </si>
  <si>
    <t>3099-1777</t>
  </si>
  <si>
    <t>3099-1503</t>
  </si>
  <si>
    <t>3099-1554</t>
  </si>
  <si>
    <t>3099-1618</t>
  </si>
  <si>
    <t>3099-1742</t>
  </si>
  <si>
    <t>3099-1522</t>
  </si>
  <si>
    <t>3099-1552</t>
  </si>
  <si>
    <t>3099-1558</t>
  </si>
  <si>
    <t>3099-1574</t>
  </si>
  <si>
    <t>3099-1605</t>
  </si>
  <si>
    <t>3099-1616</t>
  </si>
  <si>
    <t>3099-1619</t>
  </si>
  <si>
    <t>3099-1625</t>
  </si>
  <si>
    <t>3099-1644</t>
  </si>
  <si>
    <t>3099-1673</t>
  </si>
  <si>
    <t>3099-1677</t>
  </si>
  <si>
    <t>3099-1698</t>
  </si>
  <si>
    <t>3099-1743</t>
  </si>
  <si>
    <t>3099-1789</t>
  </si>
  <si>
    <t>3099-1812</t>
  </si>
  <si>
    <t>3099-1530</t>
  </si>
  <si>
    <t>3099-1652</t>
  </si>
  <si>
    <t>3099-1659</t>
  </si>
  <si>
    <t>3099-1517</t>
  </si>
  <si>
    <t>3099-1529</t>
  </si>
  <si>
    <t>3099-1535</t>
  </si>
  <si>
    <t>3099-1539</t>
  </si>
  <si>
    <t>3099-1563</t>
  </si>
  <si>
    <t>3099-1577</t>
  </si>
  <si>
    <t>3099-1604</t>
  </si>
  <si>
    <t>3099-1617</t>
  </si>
  <si>
    <t>3099-1641</t>
  </si>
  <si>
    <t>3099-1648</t>
  </si>
  <si>
    <t>3099-1657</t>
  </si>
  <si>
    <t>3099-1692</t>
  </si>
  <si>
    <t>3099-1693</t>
  </si>
  <si>
    <t>3099-1735</t>
  </si>
  <si>
    <t>3099-1746</t>
  </si>
  <si>
    <t>3099-1794</t>
  </si>
  <si>
    <t>3099-1515</t>
  </si>
  <si>
    <t>3099-1525</t>
  </si>
  <si>
    <t>3099-1532</t>
  </si>
  <si>
    <t>3099-1562</t>
  </si>
  <si>
    <t>3099-1566</t>
  </si>
  <si>
    <t>3099-1599</t>
  </si>
  <si>
    <t>3099-1608</t>
  </si>
  <si>
    <t>3099-1634</t>
  </si>
  <si>
    <t>3099-1649</t>
  </si>
  <si>
    <t>3099-1669</t>
  </si>
  <si>
    <t>3099-1694</t>
  </si>
  <si>
    <t>3099-1695</t>
  </si>
  <si>
    <t>3099-1724</t>
  </si>
  <si>
    <t>3099-1728</t>
  </si>
  <si>
    <t>3099-1793</t>
  </si>
  <si>
    <t>3099-1807</t>
  </si>
  <si>
    <t>3099-1504</t>
  </si>
  <si>
    <t>3099-1537</t>
  </si>
  <si>
    <t>3099-1538</t>
  </si>
  <si>
    <t>3099-1544</t>
  </si>
  <si>
    <t>3099-1583</t>
  </si>
  <si>
    <t>3099-1594</t>
  </si>
  <si>
    <t>3099-1603</t>
  </si>
  <si>
    <t>3099-1627</t>
  </si>
  <si>
    <t>3099-1636</t>
  </si>
  <si>
    <t>3099-1639</t>
  </si>
  <si>
    <t>3099-1647</t>
  </si>
  <si>
    <t>3099-1658</t>
  </si>
  <si>
    <t>3099-1660</t>
  </si>
  <si>
    <t>3099-1663</t>
  </si>
  <si>
    <t>3099-1679</t>
  </si>
  <si>
    <t>3099-1700</t>
  </si>
  <si>
    <t>3099-1702</t>
  </si>
  <si>
    <t>3099-1732</t>
  </si>
  <si>
    <t>3099-1737</t>
  </si>
  <si>
    <t>3099-1799</t>
  </si>
  <si>
    <t>3099-1814</t>
  </si>
  <si>
    <t>3099-1519</t>
  </si>
  <si>
    <t>3099-1685</t>
  </si>
  <si>
    <t>3099-1713</t>
  </si>
  <si>
    <t>3099-1758</t>
  </si>
  <si>
    <t>3099-1534</t>
  </si>
  <si>
    <t>3099-1560</t>
  </si>
  <si>
    <t>3099-1623</t>
  </si>
  <si>
    <t>3099-1674</t>
  </si>
  <si>
    <t>3099-1508</t>
  </si>
  <si>
    <t>3099-1531</t>
  </si>
  <si>
    <t>3099-1549</t>
  </si>
  <si>
    <t>3099-1567</t>
  </si>
  <si>
    <t>3099-1575</t>
  </si>
  <si>
    <t>3099-1585</t>
  </si>
  <si>
    <t>3099-1592</t>
  </si>
  <si>
    <t>3099-1602</t>
  </si>
  <si>
    <t>3099-1621</t>
  </si>
  <si>
    <t>3099-1622</t>
  </si>
  <si>
    <t>3099-1629</t>
  </si>
  <si>
    <t>3099-1633</t>
  </si>
  <si>
    <t>3099-1637</t>
  </si>
  <si>
    <t>3099-1656</t>
  </si>
  <si>
    <t>3099-1665</t>
  </si>
  <si>
    <t>3099-1697</t>
  </si>
  <si>
    <t>3099-1720</t>
  </si>
  <si>
    <t>3099-1729</t>
  </si>
  <si>
    <t>3099-1730</t>
  </si>
  <si>
    <t>3099-1774</t>
  </si>
  <si>
    <t>3099-1778</t>
  </si>
  <si>
    <t>3099-1784</t>
  </si>
  <si>
    <t>3099-1788</t>
  </si>
  <si>
    <t>3099-1528</t>
  </si>
  <si>
    <t>3099-1638</t>
  </si>
  <si>
    <t>3099-1643</t>
  </si>
  <si>
    <t>3099-1696</t>
  </si>
  <si>
    <t>3099-1734</t>
  </si>
  <si>
    <t>3099-1740</t>
  </si>
  <si>
    <t>3099-1741</t>
  </si>
  <si>
    <t>3099-1769</t>
  </si>
  <si>
    <t>3099-1770</t>
  </si>
  <si>
    <t>3099-1813</t>
  </si>
  <si>
    <t>3099-1512</t>
  </si>
  <si>
    <t>3099-1561</t>
  </si>
  <si>
    <t>3099-1582</t>
  </si>
  <si>
    <t>3099-1586</t>
  </si>
  <si>
    <t>3099-1588</t>
  </si>
  <si>
    <t>3099-1590</t>
  </si>
  <si>
    <t>3099-1593</t>
  </si>
  <si>
    <t>3099-1607</t>
  </si>
  <si>
    <t>3099-1630</t>
  </si>
  <si>
    <t>3099-1650</t>
  </si>
  <si>
    <t>3099-1675</t>
  </si>
  <si>
    <t>3099-1745</t>
  </si>
  <si>
    <t>3099-1751</t>
  </si>
  <si>
    <t>3099-1780</t>
  </si>
  <si>
    <t>3099-1790</t>
  </si>
  <si>
    <t>3099-1798</t>
  </si>
  <si>
    <t>3099-1801</t>
  </si>
  <si>
    <t>3099-1803</t>
  </si>
  <si>
    <t>3099-1815</t>
  </si>
  <si>
    <t>DE-FOA-0003106</t>
  </si>
  <si>
    <t>3106-1508</t>
  </si>
  <si>
    <t>3106-1517</t>
  </si>
  <si>
    <t>3106-1525</t>
  </si>
  <si>
    <t>3106-1553</t>
  </si>
  <si>
    <t>3106-1515</t>
  </si>
  <si>
    <t>3106-1529</t>
  </si>
  <si>
    <t>3106-1532</t>
  </si>
  <si>
    <t>3106-1538</t>
  </si>
  <si>
    <t>3106-1551</t>
  </si>
  <si>
    <t>3106-1555</t>
  </si>
  <si>
    <t>3106-1561</t>
  </si>
  <si>
    <t>3106-1568</t>
  </si>
  <si>
    <t>3106-1588</t>
  </si>
  <si>
    <t>3106-1504</t>
  </si>
  <si>
    <t>3106-1507</t>
  </si>
  <si>
    <t>3106-1511</t>
  </si>
  <si>
    <t>3106-1519</t>
  </si>
  <si>
    <t>3106-1535</t>
  </si>
  <si>
    <t>3106-1541</t>
  </si>
  <si>
    <t>3106-1548</t>
  </si>
  <si>
    <t>3106-1563</t>
  </si>
  <si>
    <t>3106-1564</t>
  </si>
  <si>
    <t>3106-1566</t>
  </si>
  <si>
    <t>3106-1567</t>
  </si>
  <si>
    <t>3106-1570</t>
  </si>
  <si>
    <t>3106-1576</t>
  </si>
  <si>
    <t>3106-1578</t>
  </si>
  <si>
    <t>3106-1587</t>
  </si>
  <si>
    <t>3106-1589</t>
  </si>
  <si>
    <t>3106-1591</t>
  </si>
  <si>
    <t>DE-FOA-0002969</t>
  </si>
  <si>
    <t>2969-1501</t>
  </si>
  <si>
    <t>2969-1504</t>
  </si>
  <si>
    <t>2969-1506</t>
  </si>
  <si>
    <t>2969-1508</t>
  </si>
  <si>
    <t>2969-1509</t>
  </si>
  <si>
    <t>2969-1510</t>
  </si>
  <si>
    <t>2969-1511</t>
  </si>
  <si>
    <t>2969-1512</t>
  </si>
  <si>
    <t>2969-1515</t>
  </si>
  <si>
    <t>2969-1516</t>
  </si>
  <si>
    <t>2969-1518</t>
  </si>
  <si>
    <t>2969-1519</t>
  </si>
  <si>
    <t>2969-1520</t>
  </si>
  <si>
    <t>2969-1521</t>
  </si>
  <si>
    <t>2969-1522</t>
  </si>
  <si>
    <t>2969-1523</t>
  </si>
  <si>
    <t>2969-1524</t>
  </si>
  <si>
    <t>2969-1526</t>
  </si>
  <si>
    <t>2969-1527</t>
  </si>
  <si>
    <t>2969-1528</t>
  </si>
  <si>
    <t>2969-1529</t>
  </si>
  <si>
    <t>DE-FOA-0002907</t>
  </si>
  <si>
    <t>2907-1521</t>
  </si>
  <si>
    <t>2907-1527</t>
  </si>
  <si>
    <t>2907-1531</t>
  </si>
  <si>
    <t>2907-1532</t>
  </si>
  <si>
    <t>2907-1536</t>
  </si>
  <si>
    <t>2907-1540</t>
  </si>
  <si>
    <t>2907-1547</t>
  </si>
  <si>
    <t>2907-1551</t>
  </si>
  <si>
    <t>2907-1552</t>
  </si>
  <si>
    <t>2907-1557</t>
  </si>
  <si>
    <t>2907-1560</t>
  </si>
  <si>
    <t>2907-1569</t>
  </si>
  <si>
    <t>2907-1573</t>
  </si>
  <si>
    <t>2907-1574</t>
  </si>
  <si>
    <t>2907-1586</t>
  </si>
  <si>
    <t>2907-1587</t>
  </si>
  <si>
    <t>2907-1589</t>
  </si>
  <si>
    <t>2907-1533</t>
  </si>
  <si>
    <t>2907-1541</t>
  </si>
  <si>
    <t>2907-1553</t>
  </si>
  <si>
    <t>2907-1558</t>
  </si>
  <si>
    <t>2907-1562</t>
  </si>
  <si>
    <t>2907-1565</t>
  </si>
  <si>
    <t>2907-1590</t>
  </si>
  <si>
    <t>2907-1594</t>
  </si>
  <si>
    <t>2907-1596</t>
  </si>
  <si>
    <t>2907-1601</t>
  </si>
  <si>
    <t>2907-1603</t>
  </si>
  <si>
    <t>DE-FOA-0002940</t>
  </si>
  <si>
    <t>2940-1504</t>
  </si>
  <si>
    <t>2940-1512</t>
  </si>
  <si>
    <t>2940-1515</t>
  </si>
  <si>
    <t>2940-1519</t>
  </si>
  <si>
    <t>2940-1521</t>
  </si>
  <si>
    <t>2940-1527</t>
  </si>
  <si>
    <t>2940-1531</t>
  </si>
  <si>
    <t>2940-1537</t>
  </si>
  <si>
    <t>2940-1540</t>
  </si>
  <si>
    <t>2940-1541</t>
  </si>
  <si>
    <t>2940-1545</t>
  </si>
  <si>
    <t>2940-1546</t>
  </si>
  <si>
    <t>2940-1552</t>
  </si>
  <si>
    <t>2940-1558</t>
  </si>
  <si>
    <t>2940-1561</t>
  </si>
  <si>
    <t>2940-1565</t>
  </si>
  <si>
    <t>2940-1567</t>
  </si>
  <si>
    <t>2940-1577</t>
  </si>
  <si>
    <t>2940-1582</t>
  </si>
  <si>
    <t>2940-1585</t>
  </si>
  <si>
    <t>2940-1511</t>
  </si>
  <si>
    <t>2940-1538</t>
  </si>
  <si>
    <t>2940-1555</t>
  </si>
  <si>
    <t>2940-1563</t>
  </si>
  <si>
    <t>2940-1583</t>
  </si>
  <si>
    <t>2940-1589</t>
  </si>
  <si>
    <t>2940-1505</t>
  </si>
  <si>
    <t>2940-1507</t>
  </si>
  <si>
    <t>2940-1508</t>
  </si>
  <si>
    <t>2940-1509</t>
  </si>
  <si>
    <t>2940-1514</t>
  </si>
  <si>
    <t>2940-1516</t>
  </si>
  <si>
    <t>2940-1517</t>
  </si>
  <si>
    <t>2940-1518</t>
  </si>
  <si>
    <t>2940-1520</t>
  </si>
  <si>
    <t>2940-1523</t>
  </si>
  <si>
    <t>2940-1524</t>
  </si>
  <si>
    <t>2940-1525</t>
  </si>
  <si>
    <t>2940-1528</t>
  </si>
  <si>
    <t>2940-1529</t>
  </si>
  <si>
    <t>2940-1530</t>
  </si>
  <si>
    <t>2940-1533</t>
  </si>
  <si>
    <t>2940-1536</t>
  </si>
  <si>
    <t>2940-1543</t>
  </si>
  <si>
    <t>2940-1551</t>
  </si>
  <si>
    <t>2940-1554</t>
  </si>
  <si>
    <t>2940-1556</t>
  </si>
  <si>
    <t>2940-1559</t>
  </si>
  <si>
    <t>2940-1560</t>
  </si>
  <si>
    <t>2940-1562</t>
  </si>
  <si>
    <t>2940-1564</t>
  </si>
  <si>
    <t>2940-1569</t>
  </si>
  <si>
    <t>2940-1570</t>
  </si>
  <si>
    <t>2940-1573</t>
  </si>
  <si>
    <t>2940-1578</t>
  </si>
  <si>
    <t>2940-1581</t>
  </si>
  <si>
    <t>2940-1586</t>
  </si>
  <si>
    <t>DE-FOA-0002897</t>
  </si>
  <si>
    <t>2897-1527</t>
  </si>
  <si>
    <t>2897-1529</t>
  </si>
  <si>
    <t>2897-1608</t>
  </si>
  <si>
    <t>DE-FOA-0002897 R2</t>
  </si>
  <si>
    <t>2897-1631</t>
  </si>
  <si>
    <t>2897-1632</t>
  </si>
  <si>
    <t>DE-FOA-0002678</t>
  </si>
  <si>
    <t>2678-1622</t>
  </si>
  <si>
    <t>2678-1531</t>
  </si>
  <si>
    <t>2678-1624</t>
  </si>
  <si>
    <t>2678-1845</t>
  </si>
  <si>
    <t>2678-1550</t>
  </si>
  <si>
    <t>2678-1569</t>
  </si>
  <si>
    <t>2678-1611</t>
  </si>
  <si>
    <t>2678-1524</t>
  </si>
  <si>
    <t>2678-1598</t>
  </si>
  <si>
    <t>2678-1576</t>
  </si>
  <si>
    <t>2678-1617</t>
  </si>
  <si>
    <t>2678-1533</t>
  </si>
  <si>
    <t>2678-1658</t>
  </si>
  <si>
    <t>2678-1535</t>
  </si>
  <si>
    <t>2678-1730</t>
  </si>
  <si>
    <t>2678-1689</t>
  </si>
  <si>
    <t>2678-1556</t>
  </si>
  <si>
    <t>2678-1722</t>
  </si>
  <si>
    <t>2678-1766</t>
  </si>
  <si>
    <t>2678-1690</t>
  </si>
  <si>
    <t>2678-1754</t>
  </si>
  <si>
    <t>2678-1768</t>
  </si>
  <si>
    <t>2678-1794</t>
  </si>
  <si>
    <t>2678-1918</t>
  </si>
  <si>
    <t>2678-1915</t>
  </si>
  <si>
    <t>2678-1718</t>
  </si>
  <si>
    <t>2678-1760</t>
  </si>
  <si>
    <t>2678-1686</t>
  </si>
  <si>
    <t>2678-1746</t>
  </si>
  <si>
    <t>2678-1765</t>
  </si>
  <si>
    <t>2678-1542</t>
  </si>
  <si>
    <t>2678-1600</t>
  </si>
  <si>
    <t>2678-1513</t>
  </si>
  <si>
    <t>2678-1661</t>
  </si>
  <si>
    <t>2678-1727</t>
  </si>
  <si>
    <t>2678-1519</t>
  </si>
  <si>
    <t>2678-1596</t>
  </si>
  <si>
    <t>2678-1652</t>
  </si>
  <si>
    <t>2678-1629</t>
  </si>
  <si>
    <t>2678-1875</t>
  </si>
  <si>
    <t>2678-1529</t>
  </si>
  <si>
    <t>2678-1844</t>
  </si>
  <si>
    <t>2678-1575</t>
  </si>
  <si>
    <t>2678-1721</t>
  </si>
  <si>
    <t>2678-1728</t>
  </si>
  <si>
    <t>2678-1775</t>
  </si>
  <si>
    <t>2678-1676</t>
  </si>
  <si>
    <t>2678-1753</t>
  </si>
  <si>
    <t>2678-1878</t>
  </si>
  <si>
    <t>2678-1791</t>
  </si>
  <si>
    <t>2678-1801</t>
  </si>
  <si>
    <t>2678-1708</t>
  </si>
  <si>
    <t>2678-1664</t>
  </si>
  <si>
    <t>2678-1774</t>
  </si>
  <si>
    <t>2678-1706</t>
  </si>
  <si>
    <t>2678-1616</t>
  </si>
  <si>
    <t>2678-1541</t>
  </si>
  <si>
    <t>2678-1736</t>
  </si>
  <si>
    <t>2678-1710</t>
  </si>
  <si>
    <t>2678-1563</t>
  </si>
  <si>
    <t>2678-1586</t>
  </si>
  <si>
    <t>2678-1553</t>
  </si>
  <si>
    <t>2678-1619</t>
  </si>
  <si>
    <t>2678-1568</t>
  </si>
  <si>
    <t>2678-1867</t>
  </si>
  <si>
    <t>2678-1646</t>
  </si>
  <si>
    <t>2678-1645</t>
  </si>
  <si>
    <t>2678-1748</t>
  </si>
  <si>
    <t>2678-1530</t>
  </si>
  <si>
    <t>2678-1618</t>
  </si>
  <si>
    <t>2678-1615</t>
  </si>
  <si>
    <t>2678-1554</t>
  </si>
  <si>
    <t>2678-1671</t>
  </si>
  <si>
    <t>2678-1899</t>
  </si>
  <si>
    <t>2678-1638</t>
  </si>
  <si>
    <t>2678-1824</t>
  </si>
  <si>
    <t>2678-1780</t>
  </si>
  <si>
    <t>2678-1837</t>
  </si>
  <si>
    <t>2678-1547</t>
  </si>
  <si>
    <t>2678-1742</t>
  </si>
  <si>
    <t>2678-1705</t>
  </si>
  <si>
    <t>2678-1907</t>
  </si>
  <si>
    <t>2678-1555</t>
  </si>
  <si>
    <t>2678-1913</t>
  </si>
  <si>
    <t>2678-1902</t>
  </si>
  <si>
    <t>2678-1882</t>
  </si>
  <si>
    <t>2678-1628</t>
  </si>
  <si>
    <t>2678-1819</t>
  </si>
  <si>
    <t>2678-1848</t>
  </si>
  <si>
    <t>2678-1735</t>
  </si>
  <si>
    <t>2678-1625</t>
  </si>
  <si>
    <t>2678-1924</t>
  </si>
  <si>
    <t>2678-1792</t>
  </si>
  <si>
    <t>2678-1892</t>
  </si>
  <si>
    <t>2678-1750</t>
  </si>
  <si>
    <t>2678-1523</t>
  </si>
  <si>
    <t>2678-1528</t>
  </si>
  <si>
    <t>2678-1884</t>
  </si>
  <si>
    <t>2678-1767</t>
  </si>
  <si>
    <t>2678-1557</t>
  </si>
  <si>
    <t>2678-1843</t>
  </si>
  <si>
    <t>2678-1502</t>
  </si>
  <si>
    <t>2678-1551</t>
  </si>
  <si>
    <t>2678-1732</t>
  </si>
  <si>
    <t>2678-1593</t>
  </si>
  <si>
    <t>2678-1747</t>
  </si>
  <si>
    <t>2678-1908</t>
  </si>
  <si>
    <t>2678-1670</t>
  </si>
  <si>
    <t>2678-1833</t>
  </si>
  <si>
    <t>2678-1846</t>
  </si>
  <si>
    <t>2678-1919</t>
  </si>
  <si>
    <t>2678-1679</t>
  </si>
  <si>
    <t>2678-1692</t>
  </si>
  <si>
    <t>2678-1591</t>
  </si>
  <si>
    <t>2678-1854</t>
  </si>
  <si>
    <t>2678-1587</t>
  </si>
  <si>
    <t>2678-1739</t>
  </si>
  <si>
    <t>2678-1525</t>
  </si>
  <si>
    <t>2678-1672</t>
  </si>
  <si>
    <t>2678-1562</t>
  </si>
  <si>
    <t>2678-1678</t>
  </si>
  <si>
    <t>2678-1582</t>
  </si>
  <si>
    <t>2678-1595</t>
  </si>
  <si>
    <t>2678-1649</t>
  </si>
  <si>
    <t>2678-1516</t>
  </si>
  <si>
    <t>2678-1511</t>
  </si>
  <si>
    <t>2678-1669</t>
  </si>
  <si>
    <t>2678-1626</t>
  </si>
  <si>
    <t>2678-1699</t>
  </si>
  <si>
    <t>2678-1621</t>
  </si>
  <si>
    <t>2678-1561</t>
  </si>
  <si>
    <t>2678-1641</t>
  </si>
  <si>
    <t>2678-1647</t>
  </si>
  <si>
    <t>2678-1762</t>
  </si>
  <si>
    <t>2678-1869</t>
  </si>
  <si>
    <t>2678-1859</t>
  </si>
  <si>
    <t>2678-1594</t>
  </si>
  <si>
    <t>2678-1870</t>
  </si>
  <si>
    <t>2678-1734</t>
  </si>
  <si>
    <t>2678-1818</t>
  </si>
  <si>
    <t>2678-1815</t>
  </si>
  <si>
    <t>2678-1539</t>
  </si>
  <si>
    <t>2678-1885</t>
  </si>
  <si>
    <t>2678-1876</t>
  </si>
  <si>
    <t>2678-1687</t>
  </si>
  <si>
    <t>2678-1571</t>
  </si>
  <si>
    <t>2678-1545</t>
  </si>
  <si>
    <t>2678-1701</t>
  </si>
  <si>
    <t>2678-1923</t>
  </si>
  <si>
    <t>2678-1757</t>
  </si>
  <si>
    <t>2678-1809</t>
  </si>
  <si>
    <t>2678-1585</t>
  </si>
  <si>
    <t>2678-1894</t>
  </si>
  <si>
    <t>2678-1725</t>
  </si>
  <si>
    <t>2678-1532</t>
  </si>
  <si>
    <t>2678-1745</t>
  </si>
  <si>
    <t>2678-1682</t>
  </si>
  <si>
    <t>2678-1737</t>
  </si>
  <si>
    <t>2678-1842</t>
  </si>
  <si>
    <t>2678-1666</t>
  </si>
  <si>
    <t>2678-1712</t>
  </si>
  <si>
    <t>2678-1787</t>
  </si>
  <si>
    <t>2678-1911</t>
  </si>
  <si>
    <t>2678-1709</t>
  </si>
  <si>
    <t>2678-1515</t>
  </si>
  <si>
    <t>2678-1773</t>
  </si>
  <si>
    <t>2678-1603</t>
  </si>
  <si>
    <t>2678-1564</t>
  </si>
  <si>
    <t>2678-1642</t>
  </si>
  <si>
    <t>2678-1743</t>
  </si>
  <si>
    <t>2678-1651</t>
  </si>
  <si>
    <t>2678-1510</t>
  </si>
  <si>
    <t>2678-1543</t>
  </si>
  <si>
    <t>2678-1639</t>
  </si>
  <si>
    <t>2678-1726</t>
  </si>
  <si>
    <t>2678-1729</t>
  </si>
  <si>
    <t>2678-1602</t>
  </si>
  <si>
    <t>2678-1570</t>
  </si>
  <si>
    <t>2678-1752</t>
  </si>
  <si>
    <t>2678-1795</t>
  </si>
  <si>
    <t>2678-1862</t>
  </si>
  <si>
    <t>2678-1921</t>
  </si>
  <si>
    <t>2678-1744</t>
  </si>
  <si>
    <t>2678-1659</t>
  </si>
  <si>
    <t>2678-1574</t>
  </si>
  <si>
    <t>2678-1855</t>
  </si>
  <si>
    <t>2678-1700</t>
  </si>
  <si>
    <t>2678-1838</t>
  </si>
  <si>
    <t>2678-1635</t>
  </si>
  <si>
    <t>2678-1879</t>
  </si>
  <si>
    <t>2678-1694</t>
  </si>
  <si>
    <t>2678-1858</t>
  </si>
  <si>
    <t>2678-1640</t>
  </si>
  <si>
    <t>2678-1650</t>
  </si>
  <si>
    <t>Sheet Name</t>
  </si>
  <si>
    <t>FOA Number</t>
  </si>
  <si>
    <t>FOA Name</t>
  </si>
  <si>
    <t>CP Directory</t>
  </si>
  <si>
    <t>CP File</t>
  </si>
  <si>
    <t>Application File</t>
  </si>
  <si>
    <t>Application Directory</t>
  </si>
  <si>
    <t>Topic Name</t>
  </si>
  <si>
    <t>Admin POC City</t>
  </si>
  <si>
    <t>Admin POC State Province Region</t>
  </si>
  <si>
    <t>Total Funds Requested</t>
  </si>
  <si>
    <t>Proposed Cost Share</t>
  </si>
  <si>
    <t>Admin POC Zip</t>
  </si>
  <si>
    <t>Admin POC Address</t>
  </si>
  <si>
    <t>CP File Path</t>
  </si>
  <si>
    <t>Application File Path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</si>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</sst>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"/>
  </numFmts>
  <fonts count="11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theme="0"/>
      <name val="Arial"/>
      <family val="2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999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6" fillId="0" borderId="0"/>
    <xf numFmtId="0" fontId="6" fillId="0" borderId="0"/>
    <xf numFmtId="44" fontId="9" fillId="0" borderId="0" applyFont="0" applyFill="0" applyBorder="0" applyAlignment="0" applyProtection="0"/>
  </cellStyleXfs>
  <cellXfs count="53">
    <xf numFmtId="0" fontId="0" fillId="0" borderId="0" xfId="0"/>
    <xf numFmtId="0" fontId="2" fillId="3" borderId="4" xfId="0" applyFont="1" applyFill="1" applyBorder="1" applyAlignment="1">
      <alignment horizontal="center" vertical="center" wrapText="1" readingOrder="1"/>
    </xf>
    <xf numFmtId="0" fontId="2" fillId="4" borderId="4" xfId="0" applyFont="1" applyFill="1" applyBorder="1" applyAlignment="1">
      <alignment horizontal="center" vertical="center" wrapText="1" readingOrder="1"/>
    </xf>
    <xf numFmtId="0" fontId="4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 vertical="center" wrapText="1" readingOrder="1"/>
    </xf>
    <xf numFmtId="0" fontId="2" fillId="9" borderId="6" xfId="0" applyFont="1" applyFill="1" applyBorder="1" applyAlignment="1">
      <alignment horizontal="center" vertical="center" wrapText="1" readingOrder="1"/>
    </xf>
    <xf numFmtId="0" fontId="2" fillId="4" borderId="1" xfId="0" applyFont="1" applyFill="1" applyBorder="1" applyAlignment="1">
      <alignment horizontal="center" vertical="center" wrapText="1" readingOrder="1"/>
    </xf>
    <xf numFmtId="0" fontId="2" fillId="4" borderId="6" xfId="0" applyFont="1" applyFill="1" applyBorder="1" applyAlignment="1">
      <alignment horizontal="center" vertical="center" wrapText="1" readingOrder="1"/>
    </xf>
    <xf numFmtId="0" fontId="3" fillId="10" borderId="1" xfId="0" applyFont="1" applyFill="1" applyBorder="1" applyAlignment="1">
      <alignment horizontal="center" vertical="center" wrapText="1" readingOrder="1"/>
    </xf>
    <xf numFmtId="0" fontId="2" fillId="10" borderId="1" xfId="0" applyFont="1" applyFill="1" applyBorder="1" applyAlignment="1">
      <alignment horizontal="center" vertical="center" wrapText="1" readingOrder="1"/>
    </xf>
    <xf numFmtId="0" fontId="3" fillId="11" borderId="1" xfId="0" applyFont="1" applyFill="1" applyBorder="1" applyAlignment="1">
      <alignment horizontal="center" vertical="center" wrapText="1" readingOrder="1"/>
    </xf>
    <xf numFmtId="0" fontId="3" fillId="12" borderId="1" xfId="0" applyFont="1" applyFill="1" applyBorder="1" applyAlignment="1">
      <alignment horizontal="center" vertical="center" wrapText="1" readingOrder="1"/>
    </xf>
    <xf numFmtId="0" fontId="5" fillId="0" borderId="0" xfId="0" applyFont="1"/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vertical="center"/>
    </xf>
    <xf numFmtId="0" fontId="6" fillId="0" borderId="1" xfId="1" applyBorder="1" applyAlignment="1">
      <alignment horizontal="center" vertical="center" wrapText="1"/>
    </xf>
    <xf numFmtId="0" fontId="6" fillId="0" borderId="1" xfId="2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5" fillId="0" borderId="0" xfId="0" applyFont="1" applyAlignment="1">
      <alignment horizontal="left" wrapText="1"/>
    </xf>
    <xf numFmtId="0" fontId="5" fillId="0" borderId="0" xfId="0" applyFont="1" applyAlignment="1">
      <alignment horizontal="left"/>
    </xf>
    <xf numFmtId="0" fontId="5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4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/>
    <xf numFmtId="0" fontId="0" fillId="0" borderId="0" xfId="0" applyAlignment="1">
      <alignment horizontal="center"/>
    </xf>
    <xf numFmtId="44" fontId="3" fillId="10" borderId="1" xfId="3" applyFont="1" applyFill="1" applyBorder="1" applyAlignment="1">
      <alignment horizontal="center" vertical="center" wrapText="1" readingOrder="1"/>
    </xf>
    <xf numFmtId="44" fontId="5" fillId="0" borderId="0" xfId="3" applyFont="1" applyAlignment="1">
      <alignment wrapText="1"/>
    </xf>
    <xf numFmtId="0" fontId="5" fillId="0" borderId="0" xfId="0" quotePrefix="1" applyFont="1"/>
    <xf numFmtId="0" fontId="4" fillId="0" borderId="1" xfId="0" applyFont="1" applyBorder="1" applyAlignment="1">
      <alignment horizontal="left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 readingOrder="1"/>
    </xf>
    <xf numFmtId="0" fontId="3" fillId="14" borderId="1" xfId="0" applyFont="1" applyFill="1" applyBorder="1" applyAlignment="1">
      <alignment horizontal="center" vertical="center" wrapText="1" readingOrder="1"/>
    </xf>
    <xf numFmtId="0" fontId="1" fillId="2" borderId="1" xfId="0" applyFont="1" applyFill="1" applyBorder="1" applyAlignment="1">
      <alignment horizontal="center" vertical="center" wrapText="1" readingOrder="1"/>
    </xf>
    <xf numFmtId="0" fontId="2" fillId="3" borderId="2" xfId="0" applyFont="1" applyFill="1" applyBorder="1" applyAlignment="1">
      <alignment horizontal="right" vertical="center" wrapText="1" readingOrder="1"/>
    </xf>
    <xf numFmtId="0" fontId="2" fillId="3" borderId="3" xfId="0" applyFont="1" applyFill="1" applyBorder="1" applyAlignment="1">
      <alignment horizontal="right" vertical="center" wrapText="1" readingOrder="1"/>
    </xf>
    <xf numFmtId="0" fontId="2" fillId="4" borderId="3" xfId="0" applyFont="1" applyFill="1" applyBorder="1" applyAlignment="1">
      <alignment horizontal="right" vertical="center" wrapText="1" readingOrder="1"/>
    </xf>
    <xf numFmtId="0" fontId="2" fillId="5" borderId="7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 wrapText="1"/>
    </xf>
    <xf numFmtId="0" fontId="2" fillId="13" borderId="5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</cellXfs>
  <cellStyles count="4">
    <cellStyle name="Currency" xfId="3" builtinId="4"/>
    <cellStyle name="Normal" xfId="0" builtinId="0"/>
    <cellStyle name="Normal 2" xfId="1" xr:uid="{8EACB76B-28AE-47AC-AE23-ADD0156B02F9}"/>
    <cellStyle name="Normal 2 2" xfId="2" xr:uid="{AC354AAE-9615-4F69-9975-269EB69847E0}"/>
  </cellStyles>
  <dxfs count="149"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0.59996337778862885"/>
      </font>
      <fill>
        <patternFill>
          <bgColor theme="5" tint="-0.24994659260841701"/>
        </patternFill>
      </fill>
      <border>
        <vertical/>
        <horizontal/>
      </border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6"/>
      </font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6"/>
      </font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6"/>
      </font>
      <fill>
        <patternFill>
          <bgColor theme="6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6"/>
      </font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6"/>
      </font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6"/>
      </font>
      <fill>
        <patternFill>
          <bgColor theme="6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6"/>
      </font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6"/>
      </font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6"/>
      </font>
      <fill>
        <patternFill>
          <bgColor theme="6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color theme="6"/>
      </font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6"/>
      </font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6"/>
      </font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6"/>
      </font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6"/>
      </font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10656-8464-465E-BDE3-F5800C8DFA0D}">
  <sheetPr codeName="Sheet3">
    <pageSetUpPr fitToPage="1"/>
  </sheetPr>
  <dimension ref="A1:XFD414"/>
  <sheetViews>
    <sheetView tabSelected="1" zoomScaleNormal="100" workbookViewId="0">
      <pane ySplit="2" topLeftCell="A3" activePane="bottomLeft" state="frozen"/>
      <selection pane="bottomLeft" activeCell="K208" sqref="K208"/>
    </sheetView>
  </sheetViews>
  <sheetFormatPr defaultColWidth="8.85546875" defaultRowHeight="14.25" x14ac:dyDescent="0.2"/>
  <cols>
    <col min="1" max="1" width="12.42578125" style="12" customWidth="1"/>
    <col min="2" max="2" width="8.140625" style="12" customWidth="1"/>
    <col min="3" max="3" width="27.140625" style="21" customWidth="1"/>
    <col min="4" max="4" width="51.85546875" style="22" customWidth="1"/>
    <col min="5" max="5" width="14.7109375" style="23" customWidth="1"/>
    <col min="6" max="6" width="11.85546875" style="23" customWidth="1"/>
    <col min="7" max="7" width="21.140625" style="23" customWidth="1"/>
    <col min="8" max="8" width="43.5703125" style="23" customWidth="1"/>
    <col min="9" max="9" width="17.140625" style="23" customWidth="1"/>
    <col min="10" max="11" width="13.28515625" style="23" customWidth="1"/>
    <col min="12" max="12" width="25.42578125" style="23" customWidth="1"/>
    <col min="13" max="14" width="39.85546875" style="23" customWidth="1"/>
    <col min="15" max="15" width="35.85546875" style="23" customWidth="1"/>
    <col min="16" max="16" width="32.42578125" style="23" customWidth="1"/>
    <col min="17" max="17" width="15" style="23" customWidth="1"/>
    <col min="18" max="19" width="15.42578125" style="23" customWidth="1"/>
    <col min="20" max="21" width="17.85546875" style="32" customWidth="1"/>
    <col min="22" max="22" width="16.7109375" style="24" customWidth="1"/>
    <col min="23" max="23" width="22.5703125" style="25" customWidth="1"/>
    <col min="24" max="24" width="12.42578125" style="25" customWidth="1"/>
    <col min="25" max="25" width="15" style="25" customWidth="1"/>
    <col min="26" max="26" width="17.7109375" style="25" customWidth="1"/>
    <col min="27" max="27" width="11.140625" style="25" customWidth="1"/>
    <col min="28" max="28" width="13.140625" style="25" customWidth="1"/>
    <col min="29" max="29" width="24.85546875" style="23" customWidth="1"/>
    <col min="30" max="32" width="15.5703125" style="23" customWidth="1"/>
    <col min="33" max="33" width="24.85546875" style="23" customWidth="1"/>
    <col min="34" max="36" width="15.5703125" style="23" customWidth="1"/>
    <col min="37" max="37" width="24.5703125" style="23" customWidth="1"/>
    <col min="38" max="40" width="15.5703125" style="23" customWidth="1"/>
    <col min="41" max="41" width="30" style="23" customWidth="1"/>
    <col min="42" max="44" width="15.5703125" style="23" customWidth="1"/>
    <col min="45" max="45" width="14.7109375" style="25" bestFit="1" customWidth="1"/>
    <col min="46" max="46" width="70.42578125" style="12" customWidth="1"/>
    <col min="47" max="16382" width="8.85546875" style="12"/>
    <col min="16383" max="16383" width="20.28515625" style="12" bestFit="1" customWidth="1"/>
    <col min="16384" max="16384" width="106.85546875" style="12" bestFit="1" customWidth="1"/>
  </cols>
  <sheetData>
    <row r="1" spans="1:46 16383:16384" s="3" customFormat="1" ht="26.25" customHeight="1" x14ac:dyDescent="0.2">
      <c r="A1" s="43" t="s">
        <v>0</v>
      </c>
      <c r="B1" s="44" t="s">
        <v>35</v>
      </c>
      <c r="C1" s="45"/>
      <c r="D1" s="45"/>
      <c r="E1" s="1" t="s">
        <v>585</v>
      </c>
      <c r="F1" s="46" t="s">
        <v>36</v>
      </c>
      <c r="G1" s="46"/>
      <c r="H1" s="46"/>
      <c r="I1" s="2" t="s">
        <v>1</v>
      </c>
      <c r="J1" s="47" t="s">
        <v>2</v>
      </c>
      <c r="K1" s="48"/>
      <c r="L1" s="49"/>
      <c r="M1" s="50" t="s">
        <v>37</v>
      </c>
      <c r="N1" s="51"/>
      <c r="O1" s="52" t="s">
        <v>2</v>
      </c>
      <c r="P1" s="48"/>
      <c r="Q1" s="48"/>
      <c r="R1" s="48"/>
      <c r="S1" s="48"/>
      <c r="T1" s="48"/>
      <c r="U1" s="49"/>
      <c r="V1" s="35" t="s">
        <v>3</v>
      </c>
      <c r="W1" s="36"/>
      <c r="X1" s="36"/>
      <c r="Y1" s="36"/>
      <c r="Z1" s="36"/>
      <c r="AA1" s="36"/>
      <c r="AB1" s="37"/>
      <c r="AC1" s="38" t="s">
        <v>4</v>
      </c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40"/>
      <c r="AS1" s="41" t="s">
        <v>5</v>
      </c>
      <c r="AT1" s="42" t="s">
        <v>40</v>
      </c>
      <c r="XFC1" s="12" t="s">
        <v>569</v>
      </c>
      <c r="XFD1" s="12" t="str" cm="1">
        <f t="array" aca="1" ref="XFD1" ca="1">MID(CELL("filename",A1),FIND("]",CELL("filename",A1))+1,255)</f>
        <v>DE-FOA-000XXXX</v>
      </c>
    </row>
    <row r="2" spans="1:46 16383:16384" ht="37.5" customHeight="1" x14ac:dyDescent="0.2">
      <c r="A2" s="43"/>
      <c r="B2" s="4" t="s">
        <v>6</v>
      </c>
      <c r="C2" s="4" t="s">
        <v>7</v>
      </c>
      <c r="D2" s="4" t="s">
        <v>8</v>
      </c>
      <c r="E2" s="5" t="s">
        <v>9</v>
      </c>
      <c r="F2" s="6" t="s">
        <v>576</v>
      </c>
      <c r="G2" s="6" t="s">
        <v>7</v>
      </c>
      <c r="H2" s="6" t="s">
        <v>8</v>
      </c>
      <c r="I2" s="7" t="s">
        <v>10</v>
      </c>
      <c r="J2" s="8" t="s">
        <v>11</v>
      </c>
      <c r="K2" s="9" t="s">
        <v>576</v>
      </c>
      <c r="L2" s="9" t="s">
        <v>7</v>
      </c>
      <c r="M2" s="8" t="s">
        <v>38</v>
      </c>
      <c r="N2" s="8" t="s">
        <v>39</v>
      </c>
      <c r="O2" s="9" t="s">
        <v>8</v>
      </c>
      <c r="P2" s="8" t="s">
        <v>582</v>
      </c>
      <c r="Q2" s="8" t="s">
        <v>577</v>
      </c>
      <c r="R2" s="8" t="s">
        <v>578</v>
      </c>
      <c r="S2" s="8" t="s">
        <v>581</v>
      </c>
      <c r="T2" s="31" t="s">
        <v>580</v>
      </c>
      <c r="U2" s="31" t="s">
        <v>579</v>
      </c>
      <c r="V2" s="10" t="s">
        <v>12</v>
      </c>
      <c r="W2" s="10" t="s">
        <v>13</v>
      </c>
      <c r="X2" s="10" t="s">
        <v>14</v>
      </c>
      <c r="Y2" s="10" t="s">
        <v>15</v>
      </c>
      <c r="Z2" s="10" t="s">
        <v>16</v>
      </c>
      <c r="AA2" s="10" t="s">
        <v>17</v>
      </c>
      <c r="AB2" s="10" t="s">
        <v>18</v>
      </c>
      <c r="AC2" s="11" t="s">
        <v>19</v>
      </c>
      <c r="AD2" s="11" t="s">
        <v>20</v>
      </c>
      <c r="AE2" s="11" t="s">
        <v>21</v>
      </c>
      <c r="AF2" s="11" t="s">
        <v>22</v>
      </c>
      <c r="AG2" s="11" t="s">
        <v>23</v>
      </c>
      <c r="AH2" s="11" t="s">
        <v>24</v>
      </c>
      <c r="AI2" s="11" t="s">
        <v>25</v>
      </c>
      <c r="AJ2" s="11" t="s">
        <v>26</v>
      </c>
      <c r="AK2" s="11" t="s">
        <v>27</v>
      </c>
      <c r="AL2" s="11" t="s">
        <v>28</v>
      </c>
      <c r="AM2" s="11" t="s">
        <v>29</v>
      </c>
      <c r="AN2" s="11" t="s">
        <v>30</v>
      </c>
      <c r="AO2" s="11" t="s">
        <v>31</v>
      </c>
      <c r="AP2" s="11" t="s">
        <v>32</v>
      </c>
      <c r="AQ2" s="11" t="s">
        <v>33</v>
      </c>
      <c r="AR2" s="11" t="s">
        <v>34</v>
      </c>
      <c r="AS2" s="41"/>
      <c r="AT2" s="42"/>
      <c r="XFC2" s="12" t="s">
        <v>570</v>
      </c>
      <c r="XFD2" s="12" t="str">
        <f ca="1">RIGHT(XFD1,4)</f>
        <v>XXXX</v>
      </c>
    </row>
    <row r="3" spans="1:46 16383:16384" ht="36" customHeight="1" x14ac:dyDescent="0.2">
      <c r="A3" s="13" t="e" cm="1">
        <f t="array" aca="1" ref="A3" ca="1">GetUniqueControlNumbers(XFD8,XFD9)</f>
        <v>#VALUE!</v>
      </c>
      <c r="B3" s="14"/>
      <c r="C3" s="15"/>
      <c r="D3" s="15"/>
      <c r="E3" s="13"/>
      <c r="F3" s="34" t="e" cm="1">
        <f t="array" aca="1" ref="F3" ca="1">IF($A3="","",GetMatchingValue($XFD$8,"Original","Control Number",F$2,$A3))</f>
        <v>#VALUE!</v>
      </c>
      <c r="G3" s="34" t="e" cm="1">
        <f t="array" aca="1" ref="G3" ca="1">IF($A3="","",GetMatchingValue($XFD$8,"Original","Control Number",G$2,$A3))</f>
        <v>#VALUE!</v>
      </c>
      <c r="H3" s="34" t="e" cm="1">
        <f t="array" aca="1" ref="H3" ca="1">IF($A3="","",GetMatchingValue($XFD$8,"Original","Control Number",H$2,$A3))</f>
        <v>#VALUE!</v>
      </c>
      <c r="I3" s="13"/>
      <c r="J3" s="13" t="e" cm="1">
        <f t="array" aca="1" ref="J3" ca="1">IF($A3="","",CheckControlNumberExists($XFD$9, "Original", $A3))</f>
        <v>#VALUE!</v>
      </c>
      <c r="K3" s="34" t="e" cm="1">
        <f t="array" aca="1" ref="K3" ca="1">IF($A3="","",IF($J3="No","",GetMatchingValue($XFD$9,"Original","Control Number",K$2,$A3)))</f>
        <v>#VALUE!</v>
      </c>
      <c r="L3" s="34" t="e" cm="1">
        <f t="array" aca="1" ref="L3" ca="1">IF($A3="","",IF($J3="No","",GetMatchingValue($XFD$9,"Original","Control Number",L$2,$A3)))</f>
        <v>#VALUE!</v>
      </c>
      <c r="M3" s="13" t="str">
        <f t="shared" ref="M3:M7" ca="1" si="0">IFERROR(INDEX(
    INDIRECT($XFD$7 &amp; ADDRESS(2, MATCH(M$2, INDIRECT($XFD$7 &amp; "1:1"), 0)) &amp; ":" &amp; ADDRESS(65536, MATCH(M$2, INDIRECT($XFD$7 &amp; "1:1"), 0))),
    MATCH($A3, INDIRECT($XFD$7 &amp; ADDRESS(2, MATCH("Control Number", INDIRECT($XFD$7 &amp; "1:1"), 0)) &amp; ":" &amp; ADDRESS(65536, MATCH("Control Number", INDIRECT($XFD$7 &amp; "1:1"), 0))), 0)
),"")</f>
        <v/>
      </c>
      <c r="N3" s="16"/>
      <c r="O3" s="34" t="e" cm="1">
        <f t="array" aca="1" ref="O3" ca="1">IF($A3="","",IF($J3="No","",GetMatchingValue($XFD$9,"Original","Control Number",O$2,$A3)))</f>
        <v>#VALUE!</v>
      </c>
      <c r="P3" s="34" t="e" cm="1">
        <f t="array" aca="1" ref="P3" ca="1">IF($A3="","",IF($J3="No","",GetMatchingValue($XFD$9,"Original","Control Number",P$2,$A3)))</f>
        <v>#VALUE!</v>
      </c>
      <c r="Q3" s="34" t="e" cm="1">
        <f t="array" aca="1" ref="Q3" ca="1">IF($A3="","",IF($J3="No","",GetMatchingValue($XFD$9,"Original","Control Number",Q$2,$A3)))</f>
        <v>#VALUE!</v>
      </c>
      <c r="R3" s="34" t="e" cm="1">
        <f t="array" aca="1" ref="R3" ca="1">IF($A3="","",IF($J3="No","",GetMatchingValue($XFD$9,"Original","Control Number",R$2,$A3)))</f>
        <v>#VALUE!</v>
      </c>
      <c r="S3" s="34" t="e" cm="1">
        <f t="array" aca="1" ref="S3" ca="1">IF($A3="","",IF($J3="No","",GetMatchingValue($XFD$9,"Original","Control Number",S$2,$A3)))</f>
        <v>#VALUE!</v>
      </c>
      <c r="T3" s="34" t="e" cm="1">
        <f t="array" aca="1" ref="T3" ca="1">IF($A3="","",IF($J3="No","",GetMatchingValue($XFD$9,"Original","Control Number",T$2,$A3)))</f>
        <v>#VALUE!</v>
      </c>
      <c r="U3" s="34" t="e" cm="1">
        <f t="array" aca="1" ref="U3" ca="1">IF($A3="","",IF($J3="No","",GetMatchingValue($XFD$9,"Original","Control Number",U$2,$A3)))</f>
        <v>#VALUE!</v>
      </c>
      <c r="V3" s="14"/>
      <c r="W3" s="17"/>
      <c r="X3" s="17"/>
      <c r="Y3" s="17"/>
      <c r="Z3" s="13"/>
      <c r="AA3" s="13"/>
      <c r="AB3" s="13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3"/>
      <c r="XFC3" s="12" t="s">
        <v>571</v>
      </c>
      <c r="XFD3" s="12" t="str">
        <f ca="1">"FOA"&amp;" "&amp;XFD2</f>
        <v>FOA XXXX</v>
      </c>
    </row>
    <row r="4" spans="1:46 16383:16384" ht="36" customHeight="1" x14ac:dyDescent="0.2">
      <c r="A4" s="13"/>
      <c r="B4" s="14"/>
      <c r="C4" s="15"/>
      <c r="D4" s="15"/>
      <c r="E4" s="13"/>
      <c r="F4" s="34" t="str" cm="1">
        <f t="array" ref="F4">IF($A4="","",GetMatchingValue($XFD$8,"Original","Control Number",F$2,$A4))</f>
        <v/>
      </c>
      <c r="G4" s="34" t="str" cm="1">
        <f t="array" ref="G4">IF($A4="","",GetMatchingValue($XFD$8,"Original","Control Number",G$2,$A4))</f>
        <v/>
      </c>
      <c r="H4" s="34" t="str" cm="1">
        <f t="array" ref="H4">IF($A4="","",GetMatchingValue($XFD$8,"Original","Control Number",H$2,$A4))</f>
        <v/>
      </c>
      <c r="I4" s="13"/>
      <c r="J4" s="13" t="str" cm="1">
        <f t="array" ref="J4">IF($A4="","",CheckControlNumberExists($XFD$9, "Original", $A4))</f>
        <v/>
      </c>
      <c r="K4" s="34" t="str" cm="1">
        <f t="array" ref="K4">IF($A4="","",IF($J4="No","",GetMatchingValue($XFD$9,"Original","Control Number",K$2,$A4)))</f>
        <v/>
      </c>
      <c r="L4" s="34" t="str" cm="1">
        <f t="array" ref="L4">IF($A4="","",IF($J4="No","",GetMatchingValue($XFD$9,"Original","Control Number",L$2,$A4)))</f>
        <v/>
      </c>
      <c r="M4" s="13" t="str">
        <f t="shared" ca="1" si="0"/>
        <v/>
      </c>
      <c r="N4" s="16"/>
      <c r="O4" s="34" t="str" cm="1">
        <f t="array" ref="O4">IF($A4="","",IF($J4="No","",GetMatchingValue($XFD$9,"Original","Control Number",O$2,$A4)))</f>
        <v/>
      </c>
      <c r="P4" s="34" t="str" cm="1">
        <f t="array" ref="P4">IF($A4="","",IF($J4="No","",GetMatchingValue($XFD$9,"Original","Control Number",P$2,$A4)))</f>
        <v/>
      </c>
      <c r="Q4" s="34" t="str" cm="1">
        <f t="array" ref="Q4">IF($A4="","",IF($J4="No","",GetMatchingValue($XFD$9,"Original","Control Number",Q$2,$A4)))</f>
        <v/>
      </c>
      <c r="R4" s="34" t="str" cm="1">
        <f t="array" ref="R4">IF($A4="","",IF($J4="No","",GetMatchingValue($XFD$9,"Original","Control Number",R$2,$A4)))</f>
        <v/>
      </c>
      <c r="S4" s="34" t="str" cm="1">
        <f t="array" ref="S4">IF($A4="","",IF($J4="No","",GetMatchingValue($XFD$9,"Original","Control Number",S$2,$A4)))</f>
        <v/>
      </c>
      <c r="T4" s="34" t="str" cm="1">
        <f t="array" ref="T4">IF($A4="","",IF($J4="No","",GetMatchingValue($XFD$9,"Original","Control Number",T$2,$A4)))</f>
        <v/>
      </c>
      <c r="U4" s="34" t="str" cm="1">
        <f t="array" ref="U4">IF($A4="","",IF($J4="No","",GetMatchingValue($XFD$9,"Original","Control Number",U$2,$A4)))</f>
        <v/>
      </c>
      <c r="V4" s="14"/>
      <c r="W4" s="17"/>
      <c r="X4" s="17"/>
      <c r="Y4" s="17"/>
      <c r="Z4" s="13"/>
      <c r="AA4" s="13"/>
      <c r="AB4" s="13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3"/>
      <c r="XFC4" s="12" t="s">
        <v>572</v>
      </c>
      <c r="XFD4" s="12" t="str">
        <f ca="1">"C:\Data Projects\Fake KDrive\FOA "&amp;XFD$2&amp;"\Concept Papers"</f>
        <v>C:\Data Projects\Fake KDrive\FOA XXXX\Concept Papers</v>
      </c>
    </row>
    <row r="5" spans="1:46 16383:16384" ht="36" customHeight="1" x14ac:dyDescent="0.2">
      <c r="A5" s="13"/>
      <c r="B5" s="14"/>
      <c r="C5" s="15"/>
      <c r="D5" s="15"/>
      <c r="E5" s="13"/>
      <c r="F5" s="34" t="str" cm="1">
        <f t="array" ref="F5">IF($A5="","",GetMatchingValue($XFD$8,"Original","Control Number",F$2,$A5))</f>
        <v/>
      </c>
      <c r="G5" s="34" t="str" cm="1">
        <f t="array" ref="G5">IF($A5="","",GetMatchingValue($XFD$8,"Original","Control Number",G$2,$A5))</f>
        <v/>
      </c>
      <c r="H5" s="34" t="str" cm="1">
        <f t="array" ref="H5">IF($A5="","",GetMatchingValue($XFD$8,"Original","Control Number",H$2,$A5))</f>
        <v/>
      </c>
      <c r="I5" s="13"/>
      <c r="J5" s="13" t="str" cm="1">
        <f t="array" ref="J5">IF($A5="","",CheckControlNumberExists($XFD$9, "Original", $A5))</f>
        <v/>
      </c>
      <c r="K5" s="34" t="str" cm="1">
        <f t="array" ref="K5">IF($A5="","",IF($J5="No","",GetMatchingValue($XFD$9,"Original","Control Number",K$2,$A5)))</f>
        <v/>
      </c>
      <c r="L5" s="34" t="str" cm="1">
        <f t="array" ref="L5">IF($A5="","",IF($J5="No","",GetMatchingValue($XFD$9,"Original","Control Number",L$2,$A5)))</f>
        <v/>
      </c>
      <c r="M5" s="13" t="str">
        <f t="shared" ca="1" si="0"/>
        <v/>
      </c>
      <c r="N5" s="16"/>
      <c r="O5" s="34" t="str" cm="1">
        <f t="array" ref="O5">IF($A5="","",IF($J5="No","",GetMatchingValue($XFD$9,"Original","Control Number",O$2,$A5)))</f>
        <v/>
      </c>
      <c r="P5" s="34" t="str" cm="1">
        <f t="array" ref="P5">IF($A5="","",IF($J5="No","",GetMatchingValue($XFD$9,"Original","Control Number",P$2,$A5)))</f>
        <v/>
      </c>
      <c r="Q5" s="34" t="str" cm="1">
        <f t="array" ref="Q5">IF($A5="","",IF($J5="No","",GetMatchingValue($XFD$9,"Original","Control Number",Q$2,$A5)))</f>
        <v/>
      </c>
      <c r="R5" s="34" t="str" cm="1">
        <f t="array" ref="R5">IF($A5="","",IF($J5="No","",GetMatchingValue($XFD$9,"Original","Control Number",R$2,$A5)))</f>
        <v/>
      </c>
      <c r="S5" s="34" t="str" cm="1">
        <f t="array" ref="S5">IF($A5="","",IF($J5="No","",GetMatchingValue($XFD$9,"Original","Control Number",S$2,$A5)))</f>
        <v/>
      </c>
      <c r="T5" s="34" t="str" cm="1">
        <f t="array" ref="T5">IF($A5="","",IF($J5="No","",GetMatchingValue($XFD$9,"Original","Control Number",T$2,$A5)))</f>
        <v/>
      </c>
      <c r="U5" s="34" t="str" cm="1">
        <f t="array" ref="U5">IF($A5="","",IF($J5="No","",GetMatchingValue($XFD$9,"Original","Control Number",U$2,$A5)))</f>
        <v/>
      </c>
      <c r="V5" s="14"/>
      <c r="W5" s="17"/>
      <c r="X5" s="17"/>
      <c r="Y5" s="17"/>
      <c r="Z5" s="13"/>
      <c r="AA5" s="13"/>
      <c r="AB5" s="13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3"/>
      <c r="XFC5" s="12" t="s">
        <v>575</v>
      </c>
      <c r="XFD5" s="12" t="str">
        <f ca="1">"C:\Data Projects\Fake KDrive\FOA "&amp;XFD$2&amp;"\Applications"</f>
        <v>C:\Data Projects\Fake KDrive\FOA XXXX\Applications</v>
      </c>
    </row>
    <row r="6" spans="1:46 16383:16384" ht="36" customHeight="1" x14ac:dyDescent="0.2">
      <c r="A6" s="13"/>
      <c r="B6" s="14"/>
      <c r="C6" s="15"/>
      <c r="D6" s="15"/>
      <c r="E6" s="13"/>
      <c r="F6" s="34" t="str" cm="1">
        <f t="array" ref="F6">IF($A6="","",GetMatchingValue($XFD$8,"Original","Control Number",F$2,$A6))</f>
        <v/>
      </c>
      <c r="G6" s="34" t="str" cm="1">
        <f t="array" ref="G6">IF($A6="","",GetMatchingValue($XFD$8,"Original","Control Number",G$2,$A6))</f>
        <v/>
      </c>
      <c r="H6" s="34" t="str" cm="1">
        <f t="array" ref="H6">IF($A6="","",GetMatchingValue($XFD$8,"Original","Control Number",H$2,$A6))</f>
        <v/>
      </c>
      <c r="I6" s="13"/>
      <c r="J6" s="13" t="str" cm="1">
        <f t="array" ref="J6">IF($A6="","",CheckControlNumberExists($XFD$9, "Original", $A6))</f>
        <v/>
      </c>
      <c r="K6" s="34" t="str" cm="1">
        <f t="array" ref="K6">IF($A6="","",IF($J6="No","",GetMatchingValue($XFD$9,"Original","Control Number",K$2,$A6)))</f>
        <v/>
      </c>
      <c r="L6" s="34" t="str" cm="1">
        <f t="array" ref="L6">IF($A6="","",IF($J6="No","",GetMatchingValue($XFD$9,"Original","Control Number",L$2,$A6)))</f>
        <v/>
      </c>
      <c r="M6" s="13" t="str">
        <f t="shared" ca="1" si="0"/>
        <v/>
      </c>
      <c r="N6" s="16"/>
      <c r="O6" s="34" t="str" cm="1">
        <f t="array" ref="O6">IF($A6="","",IF($J6="No","",GetMatchingValue($XFD$9,"Original","Control Number",O$2,$A6)))</f>
        <v/>
      </c>
      <c r="P6" s="34" t="str" cm="1">
        <f t="array" ref="P6">IF($A6="","",IF($J6="No","",GetMatchingValue($XFD$9,"Original","Control Number",P$2,$A6)))</f>
        <v/>
      </c>
      <c r="Q6" s="34" t="str" cm="1">
        <f t="array" ref="Q6">IF($A6="","",IF($J6="No","",GetMatchingValue($XFD$9,"Original","Control Number",Q$2,$A6)))</f>
        <v/>
      </c>
      <c r="R6" s="34" t="str" cm="1">
        <f t="array" ref="R6">IF($A6="","",IF($J6="No","",GetMatchingValue($XFD$9,"Original","Control Number",R$2,$A6)))</f>
        <v/>
      </c>
      <c r="S6" s="34" t="str" cm="1">
        <f t="array" ref="S6">IF($A6="","",IF($J6="No","",GetMatchingValue($XFD$9,"Original","Control Number",S$2,$A6)))</f>
        <v/>
      </c>
      <c r="T6" s="34" t="str" cm="1">
        <f t="array" ref="T6">IF($A6="","",IF($J6="No","",GetMatchingValue($XFD$9,"Original","Control Number",T$2,$A6)))</f>
        <v/>
      </c>
      <c r="U6" s="34" t="str" cm="1">
        <f t="array" ref="U6">IF($A6="","",IF($J6="No","",GetMatchingValue($XFD$9,"Original","Control Number",U$2,$A6)))</f>
        <v/>
      </c>
      <c r="V6" s="14"/>
      <c r="W6" s="17"/>
      <c r="X6" s="17"/>
      <c r="Y6" s="17"/>
      <c r="Z6" s="13"/>
      <c r="AA6" s="13"/>
      <c r="AB6" s="13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3"/>
      <c r="XFC6" s="12" t="s">
        <v>573</v>
      </c>
      <c r="XFD6" s="33" t="str">
        <f ca="1">"'[FOA "&amp;XFD2&amp;"_CP Data Capture.xlsx]Original'!"</f>
        <v>'[FOA XXXX_CP Data Capture.xlsx]Original'!</v>
      </c>
    </row>
    <row r="7" spans="1:46 16383:16384" ht="36" customHeight="1" x14ac:dyDescent="0.2">
      <c r="A7" s="13"/>
      <c r="B7" s="14"/>
      <c r="C7" s="15"/>
      <c r="D7" s="15"/>
      <c r="E7" s="13"/>
      <c r="F7" s="34" t="str" cm="1">
        <f t="array" ref="F7">IF($A7="","",GetMatchingValue($XFD$8,"Original","Control Number",F$2,$A7))</f>
        <v/>
      </c>
      <c r="G7" s="34" t="str" cm="1">
        <f t="array" ref="G7">IF($A7="","",GetMatchingValue($XFD$8,"Original","Control Number",G$2,$A7))</f>
        <v/>
      </c>
      <c r="H7" s="34" t="str" cm="1">
        <f t="array" ref="H7">IF($A7="","",GetMatchingValue($XFD$8,"Original","Control Number",H$2,$A7))</f>
        <v/>
      </c>
      <c r="I7" s="13"/>
      <c r="J7" s="13" t="str" cm="1">
        <f t="array" ref="J7">IF($A7="","",CheckControlNumberExists($XFD$9, "Original", $A7))</f>
        <v/>
      </c>
      <c r="K7" s="34" t="str" cm="1">
        <f t="array" ref="K7">IF($A7="","",IF($J7="No","",GetMatchingValue($XFD$9,"Original","Control Number",K$2,$A7)))</f>
        <v/>
      </c>
      <c r="L7" s="34" t="str" cm="1">
        <f t="array" ref="L7">IF($A7="","",IF($J7="No","",GetMatchingValue($XFD$9,"Original","Control Number",L$2,$A7)))</f>
        <v/>
      </c>
      <c r="M7" s="13" t="str">
        <f t="shared" ca="1" si="0"/>
        <v/>
      </c>
      <c r="N7" s="16"/>
      <c r="O7" s="34" t="str" cm="1">
        <f t="array" ref="O7">IF($A7="","",IF($J7="No","",GetMatchingValue($XFD$9,"Original","Control Number",O$2,$A7)))</f>
        <v/>
      </c>
      <c r="P7" s="34" t="str" cm="1">
        <f t="array" ref="P7">IF($A7="","",IF($J7="No","",GetMatchingValue($XFD$9,"Original","Control Number",P$2,$A7)))</f>
        <v/>
      </c>
      <c r="Q7" s="34" t="str" cm="1">
        <f t="array" ref="Q7">IF($A7="","",IF($J7="No","",GetMatchingValue($XFD$9,"Original","Control Number",Q$2,$A7)))</f>
        <v/>
      </c>
      <c r="R7" s="34" t="str" cm="1">
        <f t="array" ref="R7">IF($A7="","",IF($J7="No","",GetMatchingValue($XFD$9,"Original","Control Number",R$2,$A7)))</f>
        <v/>
      </c>
      <c r="S7" s="34" t="str" cm="1">
        <f t="array" ref="S7">IF($A7="","",IF($J7="No","",GetMatchingValue($XFD$9,"Original","Control Number",S$2,$A7)))</f>
        <v/>
      </c>
      <c r="T7" s="34" t="str" cm="1">
        <f t="array" ref="T7">IF($A7="","",IF($J7="No","",GetMatchingValue($XFD$9,"Original","Control Number",T$2,$A7)))</f>
        <v/>
      </c>
      <c r="U7" s="34" t="str" cm="1">
        <f t="array" ref="U7">IF($A7="","",IF($J7="No","",GetMatchingValue($XFD$9,"Original","Control Number",U$2,$A7)))</f>
        <v/>
      </c>
      <c r="V7" s="14"/>
      <c r="W7" s="17"/>
      <c r="X7" s="17"/>
      <c r="Y7" s="17"/>
      <c r="Z7" s="13"/>
      <c r="AA7" s="13"/>
      <c r="AB7" s="13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3"/>
      <c r="XFC7" s="12" t="s">
        <v>574</v>
      </c>
      <c r="XFD7" s="12" t="str">
        <f ca="1">"'[FOA "&amp;XFD2&amp;"_Full App Data Capture.xlsx]Original'!"</f>
        <v>'[FOA XXXX_Full App Data Capture.xlsx]Original'!</v>
      </c>
    </row>
    <row r="8" spans="1:46 16383:16384" ht="36" customHeight="1" x14ac:dyDescent="0.2">
      <c r="A8" s="13"/>
      <c r="B8" s="14"/>
      <c r="C8" s="15"/>
      <c r="D8" s="15"/>
      <c r="E8" s="13"/>
      <c r="F8" s="34" t="str" cm="1">
        <f t="array" ref="F8">IF($A8="","",GetMatchingValue($XFD$8,"Original","Control Number",F$2,$A8))</f>
        <v/>
      </c>
      <c r="G8" s="34" t="str" cm="1">
        <f t="array" ref="G8">IF($A8="","",GetMatchingValue($XFD$8,"Original","Control Number",G$2,$A8))</f>
        <v/>
      </c>
      <c r="H8" s="34" t="str" cm="1">
        <f t="array" ref="H8">IF($A8="","",GetMatchingValue($XFD$8,"Original","Control Number",H$2,$A8))</f>
        <v/>
      </c>
      <c r="I8" s="13"/>
      <c r="J8" s="13" t="str" cm="1">
        <f t="array" ref="J8">IF($A8="","",CheckControlNumberExists($XFD$9, "Original", $A8))</f>
        <v/>
      </c>
      <c r="K8" s="34" t="str" cm="1">
        <f t="array" ref="K8">IF($A8="","",IF($J8="No","",GetMatchingValue($XFD$9,"Original","Control Number",K$2,$A8)))</f>
        <v/>
      </c>
      <c r="L8" s="34" t="str" cm="1">
        <f t="array" ref="L8">IF($A8="","",IF($J8="No","",GetMatchingValue($XFD$9,"Original","Control Number",L$2,$A8)))</f>
        <v/>
      </c>
      <c r="M8" s="13" t="str">
        <f t="shared" ref="M8" ca="1" si="1">IFERROR(INDEX(
    INDIRECT($XFD$7 &amp; ADDRESS(2, MATCH(M$2, INDIRECT($XFD$7 &amp; "1:1"), 0)) &amp; ":" &amp; ADDRESS(65536, MATCH(M$2, INDIRECT($XFD$7 &amp; "1:1"), 0))),
    MATCH($A8, INDIRECT($XFD$7 &amp; ADDRESS(2, MATCH("Control Number", INDIRECT($XFD$7 &amp; "1:1"), 0)) &amp; ":" &amp; ADDRESS(65536, MATCH("Control Number", INDIRECT($XFD$7 &amp; "1:1"), 0))), 0)
),"")</f>
        <v/>
      </c>
      <c r="N8" s="16"/>
      <c r="O8" s="34" t="str" cm="1">
        <f t="array" ref="O8">IF($A8="","",IF($J8="No","",GetMatchingValue($XFD$9,"Original","Control Number",O$2,$A8)))</f>
        <v/>
      </c>
      <c r="P8" s="34" t="str" cm="1">
        <f t="array" ref="P8">IF($A8="","",IF($J8="No","",GetMatchingValue($XFD$9,"Original","Control Number",P$2,$A8)))</f>
        <v/>
      </c>
      <c r="Q8" s="34" t="str" cm="1">
        <f t="array" ref="Q8">IF($A8="","",IF($J8="No","",GetMatchingValue($XFD$9,"Original","Control Number",Q$2,$A8)))</f>
        <v/>
      </c>
      <c r="R8" s="34" t="str" cm="1">
        <f t="array" ref="R8">IF($A8="","",IF($J8="No","",GetMatchingValue($XFD$9,"Original","Control Number",R$2,$A8)))</f>
        <v/>
      </c>
      <c r="S8" s="34" t="str" cm="1">
        <f t="array" ref="S8">IF($A8="","",IF($J8="No","",GetMatchingValue($XFD$9,"Original","Control Number",S$2,$A8)))</f>
        <v/>
      </c>
      <c r="T8" s="34" t="str" cm="1">
        <f t="array" ref="T8">IF($A8="","",IF($J8="No","",GetMatchingValue($XFD$9,"Original","Control Number",T$2,$A8)))</f>
        <v/>
      </c>
      <c r="U8" s="34" t="str" cm="1">
        <f t="array" ref="U8">IF($A8="","",IF($J8="No","",GetMatchingValue($XFD$9,"Original","Control Number",U$2,$A8)))</f>
        <v/>
      </c>
      <c r="V8" s="14"/>
      <c r="W8" s="17"/>
      <c r="X8" s="17"/>
      <c r="Y8" s="17"/>
      <c r="Z8" s="13"/>
      <c r="AA8" s="13"/>
      <c r="AB8" s="13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3"/>
      <c r="XFC8" s="12" t="s">
        <v>583</v>
      </c>
      <c r="XFD8" s="12" t="str">
        <f ca="1">XFD4&amp;"\FOA "&amp;XFD2&amp;"_CP Data Capture.xlsx"</f>
        <v>C:\Data Projects\Fake KDrive\FOA XXXX\Concept Papers\FOA XXXX_CP Data Capture.xlsx</v>
      </c>
    </row>
    <row r="9" spans="1:46 16383:16384" ht="36" customHeight="1" x14ac:dyDescent="0.2">
      <c r="A9" s="13"/>
      <c r="B9" s="14"/>
      <c r="C9" s="15"/>
      <c r="D9" s="15"/>
      <c r="E9" s="13"/>
      <c r="F9" s="34" t="str" cm="1">
        <f t="array" ref="F9">IF($A9="","",GetMatchingValue($XFD$8,"Original","Control Number",F$2,$A9))</f>
        <v/>
      </c>
      <c r="G9" s="34" t="str" cm="1">
        <f t="array" ref="G9">IF($A9="","",GetMatchingValue($XFD$8,"Original","Control Number",G$2,$A9))</f>
        <v/>
      </c>
      <c r="H9" s="34" t="str" cm="1">
        <f t="array" ref="H9">IF($A9="","",GetMatchingValue($XFD$8,"Original","Control Number",H$2,$A9))</f>
        <v/>
      </c>
      <c r="I9" s="13"/>
      <c r="J9" s="13" t="str" cm="1">
        <f t="array" ref="J9">IF($A9="","",CheckControlNumberExists($XFD$9, "Original", $A9))</f>
        <v/>
      </c>
      <c r="K9" s="34" t="str" cm="1">
        <f t="array" ref="K9">IF($A9="","",IF($J9="No","",GetMatchingValue($XFD$9,"Original","Control Number",K$2,$A9)))</f>
        <v/>
      </c>
      <c r="L9" s="34" t="str" cm="1">
        <f t="array" ref="L9">IF($A9="","",IF($J9="No","",GetMatchingValue($XFD$9,"Original","Control Number",L$2,$A9)))</f>
        <v/>
      </c>
      <c r="M9" s="13" t="str">
        <f t="shared" ref="M9:M72" ca="1" si="2">IFERROR(INDEX(
    INDIRECT($XFD$7 &amp; ADDRESS(2, MATCH(M$2, INDIRECT($XFD$7 &amp; "1:1"), 0)) &amp; ":" &amp; ADDRESS(65536, MATCH(M$2, INDIRECT($XFD$7 &amp; "1:1"), 0))),
    MATCH($A9, INDIRECT($XFD$7 &amp; ADDRESS(2, MATCH("Control Number", INDIRECT($XFD$7 &amp; "1:1"), 0)) &amp; ":" &amp; ADDRESS(65536, MATCH("Control Number", INDIRECT($XFD$7 &amp; "1:1"), 0))), 0)
),"")</f>
        <v/>
      </c>
      <c r="N9" s="16"/>
      <c r="O9" s="34" t="str" cm="1">
        <f t="array" ref="O9">IF($A9="","",IF($J9="No","",GetMatchingValue($XFD$9,"Original","Control Number",O$2,$A9)))</f>
        <v/>
      </c>
      <c r="P9" s="34" t="str" cm="1">
        <f t="array" ref="P9">IF($A9="","",IF($J9="No","",GetMatchingValue($XFD$9,"Original","Control Number",P$2,$A9)))</f>
        <v/>
      </c>
      <c r="Q9" s="34" t="str" cm="1">
        <f t="array" ref="Q9">IF($A9="","",IF($J9="No","",GetMatchingValue($XFD$9,"Original","Control Number",Q$2,$A9)))</f>
        <v/>
      </c>
      <c r="R9" s="34" t="str" cm="1">
        <f t="array" ref="R9">IF($A9="","",IF($J9="No","",GetMatchingValue($XFD$9,"Original","Control Number",R$2,$A9)))</f>
        <v/>
      </c>
      <c r="S9" s="34" t="str" cm="1">
        <f t="array" ref="S9">IF($A9="","",IF($J9="No","",GetMatchingValue($XFD$9,"Original","Control Number",S$2,$A9)))</f>
        <v/>
      </c>
      <c r="T9" s="34" t="str" cm="1">
        <f t="array" ref="T9">IF($A9="","",IF($J9="No","",GetMatchingValue($XFD$9,"Original","Control Number",T$2,$A9)))</f>
        <v/>
      </c>
      <c r="U9" s="34" t="str" cm="1">
        <f t="array" ref="U9">IF($A9="","",IF($J9="No","",GetMatchingValue($XFD$9,"Original","Control Number",U$2,$A9)))</f>
        <v/>
      </c>
      <c r="V9" s="14"/>
      <c r="W9" s="17"/>
      <c r="X9" s="17"/>
      <c r="Y9" s="17"/>
      <c r="Z9" s="13"/>
      <c r="AA9" s="13"/>
      <c r="AB9" s="13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3"/>
      <c r="XFC9" s="12" t="s">
        <v>584</v>
      </c>
      <c r="XFD9" s="12" t="str">
        <f ca="1">XFD5&amp;"\FOA "&amp;XFD2&amp;"_Full App Data Capture.xlsx"</f>
        <v>C:\Data Projects\Fake KDrive\FOA XXXX\Applications\FOA XXXX_Full App Data Capture.xlsx</v>
      </c>
    </row>
    <row r="10" spans="1:46 16383:16384" ht="36" customHeight="1" x14ac:dyDescent="0.2">
      <c r="A10" s="13"/>
      <c r="B10" s="14"/>
      <c r="C10" s="15"/>
      <c r="D10" s="15"/>
      <c r="E10" s="13"/>
      <c r="F10" s="34" t="str" cm="1">
        <f t="array" ref="F10">IF($A10="","",GetMatchingValue($XFD$8,"Original","Control Number",F$2,$A10))</f>
        <v/>
      </c>
      <c r="G10" s="34" t="str" cm="1">
        <f t="array" ref="G10">IF($A10="","",GetMatchingValue($XFD$8,"Original","Control Number",G$2,$A10))</f>
        <v/>
      </c>
      <c r="H10" s="34" t="str" cm="1">
        <f t="array" ref="H10">IF($A10="","",GetMatchingValue($XFD$8,"Original","Control Number",H$2,$A10))</f>
        <v/>
      </c>
      <c r="I10" s="13"/>
      <c r="J10" s="13" t="str" cm="1">
        <f t="array" ref="J10">IF($A10="","",CheckControlNumberExists($XFD$9, "Original", $A10))</f>
        <v/>
      </c>
      <c r="K10" s="34" t="str" cm="1">
        <f t="array" ref="K10">IF($A10="","",IF($J10="No","",GetMatchingValue($XFD$9,"Original","Control Number",K$2,$A10)))</f>
        <v/>
      </c>
      <c r="L10" s="34" t="str" cm="1">
        <f t="array" ref="L10">IF($A10="","",IF($J10="No","",GetMatchingValue($XFD$9,"Original","Control Number",L$2,$A10)))</f>
        <v/>
      </c>
      <c r="M10" s="13" t="str">
        <f t="shared" ca="1" si="2"/>
        <v/>
      </c>
      <c r="N10" s="16"/>
      <c r="O10" s="34" t="str" cm="1">
        <f t="array" ref="O10">IF($A10="","",IF($J10="No","",GetMatchingValue($XFD$9,"Original","Control Number",O$2,$A10)))</f>
        <v/>
      </c>
      <c r="P10" s="34" t="str" cm="1">
        <f t="array" ref="P10">IF($A10="","",IF($J10="No","",GetMatchingValue($XFD$9,"Original","Control Number",P$2,$A10)))</f>
        <v/>
      </c>
      <c r="Q10" s="34" t="str" cm="1">
        <f t="array" ref="Q10">IF($A10="","",IF($J10="No","",GetMatchingValue($XFD$9,"Original","Control Number",Q$2,$A10)))</f>
        <v/>
      </c>
      <c r="R10" s="34" t="str" cm="1">
        <f t="array" ref="R10">IF($A10="","",IF($J10="No","",GetMatchingValue($XFD$9,"Original","Control Number",R$2,$A10)))</f>
        <v/>
      </c>
      <c r="S10" s="34" t="str" cm="1">
        <f t="array" ref="S10">IF($A10="","",IF($J10="No","",GetMatchingValue($XFD$9,"Original","Control Number",S$2,$A10)))</f>
        <v/>
      </c>
      <c r="T10" s="34" t="str" cm="1">
        <f t="array" ref="T10">IF($A10="","",IF($J10="No","",GetMatchingValue($XFD$9,"Original","Control Number",T$2,$A10)))</f>
        <v/>
      </c>
      <c r="U10" s="34" t="str" cm="1">
        <f t="array" ref="U10">IF($A10="","",IF($J10="No","",GetMatchingValue($XFD$9,"Original","Control Number",U$2,$A10)))</f>
        <v/>
      </c>
      <c r="V10" s="14"/>
      <c r="W10" s="17"/>
      <c r="X10" s="17"/>
      <c r="Y10" s="17"/>
      <c r="Z10" s="13"/>
      <c r="AA10" s="13"/>
      <c r="AB10" s="13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3"/>
    </row>
    <row r="11" spans="1:46 16383:16384" ht="36" customHeight="1" x14ac:dyDescent="0.2">
      <c r="A11" s="13"/>
      <c r="B11" s="14"/>
      <c r="C11" s="15"/>
      <c r="D11" s="15"/>
      <c r="E11" s="13"/>
      <c r="F11" s="34" t="str" cm="1">
        <f t="array" ref="F11">IF($A11="","",GetMatchingValue($XFD$8,"Original","Control Number",F$2,$A11))</f>
        <v/>
      </c>
      <c r="G11" s="34" t="str" cm="1">
        <f t="array" ref="G11">IF($A11="","",GetMatchingValue($XFD$8,"Original","Control Number",G$2,$A11))</f>
        <v/>
      </c>
      <c r="H11" s="34" t="str" cm="1">
        <f t="array" ref="H11">IF($A11="","",GetMatchingValue($XFD$8,"Original","Control Number",H$2,$A11))</f>
        <v/>
      </c>
      <c r="I11" s="13"/>
      <c r="J11" s="13" t="str" cm="1">
        <f t="array" ref="J11">IF($A11="","",CheckControlNumberExists($XFD$9, "Original", $A11))</f>
        <v/>
      </c>
      <c r="K11" s="34" t="str" cm="1">
        <f t="array" ref="K11">IF($A11="","",IF($J11="No","",GetMatchingValue($XFD$9,"Original","Control Number",K$2,$A11)))</f>
        <v/>
      </c>
      <c r="L11" s="34" t="str" cm="1">
        <f t="array" ref="L11">IF($A11="","",IF($J11="No","",GetMatchingValue($XFD$9,"Original","Control Number",L$2,$A11)))</f>
        <v/>
      </c>
      <c r="M11" s="13" t="str">
        <f t="shared" ca="1" si="2"/>
        <v/>
      </c>
      <c r="N11" s="16"/>
      <c r="O11" s="34" t="str" cm="1">
        <f t="array" ref="O11">IF($A11="","",IF($J11="No","",GetMatchingValue($XFD$9,"Original","Control Number",O$2,$A11)))</f>
        <v/>
      </c>
      <c r="P11" s="34" t="str" cm="1">
        <f t="array" ref="P11">IF($A11="","",IF($J11="No","",GetMatchingValue($XFD$9,"Original","Control Number",P$2,$A11)))</f>
        <v/>
      </c>
      <c r="Q11" s="34" t="str" cm="1">
        <f t="array" ref="Q11">IF($A11="","",IF($J11="No","",GetMatchingValue($XFD$9,"Original","Control Number",Q$2,$A11)))</f>
        <v/>
      </c>
      <c r="R11" s="34" t="str" cm="1">
        <f t="array" ref="R11">IF($A11="","",IF($J11="No","",GetMatchingValue($XFD$9,"Original","Control Number",R$2,$A11)))</f>
        <v/>
      </c>
      <c r="S11" s="34" t="str" cm="1">
        <f t="array" ref="S11">IF($A11="","",IF($J11="No","",GetMatchingValue($XFD$9,"Original","Control Number",S$2,$A11)))</f>
        <v/>
      </c>
      <c r="T11" s="34" t="str" cm="1">
        <f t="array" ref="T11">IF($A11="","",IF($J11="No","",GetMatchingValue($XFD$9,"Original","Control Number",T$2,$A11)))</f>
        <v/>
      </c>
      <c r="U11" s="34" t="str" cm="1">
        <f t="array" ref="U11">IF($A11="","",IF($J11="No","",GetMatchingValue($XFD$9,"Original","Control Number",U$2,$A11)))</f>
        <v/>
      </c>
      <c r="V11" s="14"/>
      <c r="W11" s="17"/>
      <c r="X11" s="17"/>
      <c r="Y11" s="17"/>
      <c r="Z11" s="13"/>
      <c r="AA11" s="13"/>
      <c r="AB11" s="13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3"/>
    </row>
    <row r="12" spans="1:46 16383:16384" ht="36" customHeight="1" x14ac:dyDescent="0.2">
      <c r="A12" s="13"/>
      <c r="B12" s="14"/>
      <c r="C12" s="15"/>
      <c r="D12" s="15"/>
      <c r="E12" s="13"/>
      <c r="F12" s="34" t="str" cm="1">
        <f t="array" ref="F12">IF($A12="","",GetMatchingValue($XFD$8,"Original","Control Number",F$2,$A12))</f>
        <v/>
      </c>
      <c r="G12" s="34" t="str" cm="1">
        <f t="array" ref="G12">IF($A12="","",GetMatchingValue($XFD$8,"Original","Control Number",G$2,$A12))</f>
        <v/>
      </c>
      <c r="H12" s="34" t="str" cm="1">
        <f t="array" ref="H12">IF($A12="","",GetMatchingValue($XFD$8,"Original","Control Number",H$2,$A12))</f>
        <v/>
      </c>
      <c r="I12" s="13"/>
      <c r="J12" s="13" t="str" cm="1">
        <f t="array" ref="J12">IF($A12="","",CheckControlNumberExists($XFD$9, "Original", $A12))</f>
        <v/>
      </c>
      <c r="K12" s="34" t="str" cm="1">
        <f t="array" ref="K12">IF($A12="","",IF($J12="No","",GetMatchingValue($XFD$9,"Original","Control Number",K$2,$A12)))</f>
        <v/>
      </c>
      <c r="L12" s="34" t="str" cm="1">
        <f t="array" ref="L12">IF($A12="","",IF($J12="No","",GetMatchingValue($XFD$9,"Original","Control Number",L$2,$A12)))</f>
        <v/>
      </c>
      <c r="M12" s="13" t="str">
        <f t="shared" ca="1" si="2"/>
        <v/>
      </c>
      <c r="N12" s="16"/>
      <c r="O12" s="34" t="str" cm="1">
        <f t="array" ref="O12">IF($A12="","",IF($J12="No","",GetMatchingValue($XFD$9,"Original","Control Number",O$2,$A12)))</f>
        <v/>
      </c>
      <c r="P12" s="34" t="str" cm="1">
        <f t="array" ref="P12">IF($A12="","",IF($J12="No","",GetMatchingValue($XFD$9,"Original","Control Number",P$2,$A12)))</f>
        <v/>
      </c>
      <c r="Q12" s="34" t="str" cm="1">
        <f t="array" ref="Q12">IF($A12="","",IF($J12="No","",GetMatchingValue($XFD$9,"Original","Control Number",Q$2,$A12)))</f>
        <v/>
      </c>
      <c r="R12" s="34" t="str" cm="1">
        <f t="array" ref="R12">IF($A12="","",IF($J12="No","",GetMatchingValue($XFD$9,"Original","Control Number",R$2,$A12)))</f>
        <v/>
      </c>
      <c r="S12" s="34" t="str" cm="1">
        <f t="array" ref="S12">IF($A12="","",IF($J12="No","",GetMatchingValue($XFD$9,"Original","Control Number",S$2,$A12)))</f>
        <v/>
      </c>
      <c r="T12" s="34" t="str" cm="1">
        <f t="array" ref="T12">IF($A12="","",IF($J12="No","",GetMatchingValue($XFD$9,"Original","Control Number",T$2,$A12)))</f>
        <v/>
      </c>
      <c r="U12" s="34" t="str" cm="1">
        <f t="array" ref="U12">IF($A12="","",IF($J12="No","",GetMatchingValue($XFD$9,"Original","Control Number",U$2,$A12)))</f>
        <v/>
      </c>
      <c r="V12" s="14"/>
      <c r="W12" s="17"/>
      <c r="X12" s="17"/>
      <c r="Y12" s="17"/>
      <c r="Z12" s="13"/>
      <c r="AA12" s="13"/>
      <c r="AB12" s="13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3"/>
    </row>
    <row r="13" spans="1:46 16383:16384" ht="36" customHeight="1" x14ac:dyDescent="0.2">
      <c r="A13" s="13"/>
      <c r="B13" s="14"/>
      <c r="C13" s="15"/>
      <c r="D13" s="15"/>
      <c r="E13" s="13"/>
      <c r="F13" s="34" t="str" cm="1">
        <f t="array" ref="F13">IF($A13="","",GetMatchingValue($XFD$8,"Original","Control Number",F$2,$A13))</f>
        <v/>
      </c>
      <c r="G13" s="34" t="str" cm="1">
        <f t="array" ref="G13">IF($A13="","",GetMatchingValue($XFD$8,"Original","Control Number",G$2,$A13))</f>
        <v/>
      </c>
      <c r="H13" s="34" t="str" cm="1">
        <f t="array" ref="H13">IF($A13="","",GetMatchingValue($XFD$8,"Original","Control Number",H$2,$A13))</f>
        <v/>
      </c>
      <c r="I13" s="13"/>
      <c r="J13" s="13" t="str" cm="1">
        <f t="array" ref="J13">IF($A13="","",CheckControlNumberExists($XFD$9, "Original", $A13))</f>
        <v/>
      </c>
      <c r="K13" s="34" t="str" cm="1">
        <f t="array" ref="K13">IF($A13="","",IF($J13="No","",GetMatchingValue($XFD$9,"Original","Control Number",K$2,$A13)))</f>
        <v/>
      </c>
      <c r="L13" s="34" t="str" cm="1">
        <f t="array" ref="L13">IF($A13="","",IF($J13="No","",GetMatchingValue($XFD$9,"Original","Control Number",L$2,$A13)))</f>
        <v/>
      </c>
      <c r="M13" s="13" t="str">
        <f t="shared" ca="1" si="2"/>
        <v/>
      </c>
      <c r="N13" s="16"/>
      <c r="O13" s="34" t="str" cm="1">
        <f t="array" ref="O13">IF($A13="","",IF($J13="No","",GetMatchingValue($XFD$9,"Original","Control Number",O$2,$A13)))</f>
        <v/>
      </c>
      <c r="P13" s="34" t="str" cm="1">
        <f t="array" ref="P13">IF($A13="","",IF($J13="No","",GetMatchingValue($XFD$9,"Original","Control Number",P$2,$A13)))</f>
        <v/>
      </c>
      <c r="Q13" s="34" t="str" cm="1">
        <f t="array" ref="Q13">IF($A13="","",IF($J13="No","",GetMatchingValue($XFD$9,"Original","Control Number",Q$2,$A13)))</f>
        <v/>
      </c>
      <c r="R13" s="34" t="str" cm="1">
        <f t="array" ref="R13">IF($A13="","",IF($J13="No","",GetMatchingValue($XFD$9,"Original","Control Number",R$2,$A13)))</f>
        <v/>
      </c>
      <c r="S13" s="34" t="str" cm="1">
        <f t="array" ref="S13">IF($A13="","",IF($J13="No","",GetMatchingValue($XFD$9,"Original","Control Number",S$2,$A13)))</f>
        <v/>
      </c>
      <c r="T13" s="34" t="str" cm="1">
        <f t="array" ref="T13">IF($A13="","",IF($J13="No","",GetMatchingValue($XFD$9,"Original","Control Number",T$2,$A13)))</f>
        <v/>
      </c>
      <c r="U13" s="34" t="str" cm="1">
        <f t="array" ref="U13">IF($A13="","",IF($J13="No","",GetMatchingValue($XFD$9,"Original","Control Number",U$2,$A13)))</f>
        <v/>
      </c>
      <c r="V13" s="14"/>
      <c r="W13" s="17"/>
      <c r="X13" s="17"/>
      <c r="Y13" s="17"/>
      <c r="Z13" s="13"/>
      <c r="AA13" s="13"/>
      <c r="AB13" s="13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3"/>
    </row>
    <row r="14" spans="1:46 16383:16384" ht="36" customHeight="1" x14ac:dyDescent="0.2">
      <c r="A14" s="14"/>
      <c r="B14" s="14"/>
      <c r="C14" s="15"/>
      <c r="D14" s="15"/>
      <c r="E14" s="13"/>
      <c r="F14" s="34" t="str" cm="1">
        <f t="array" ref="F14">IF($A14="","",GetMatchingValue($XFD$8,"Original","Control Number",F$2,$A14))</f>
        <v/>
      </c>
      <c r="G14" s="34" t="str" cm="1">
        <f t="array" ref="G14">IF($A14="","",GetMatchingValue($XFD$8,"Original","Control Number",G$2,$A14))</f>
        <v/>
      </c>
      <c r="H14" s="34" t="str" cm="1">
        <f t="array" ref="H14">IF($A14="","",GetMatchingValue($XFD$8,"Original","Control Number",H$2,$A14))</f>
        <v/>
      </c>
      <c r="I14" s="13"/>
      <c r="J14" s="13" t="str" cm="1">
        <f t="array" ref="J14">IF($A14="","",CheckControlNumberExists($XFD$9, "Original", $A14))</f>
        <v/>
      </c>
      <c r="K14" s="34" t="str" cm="1">
        <f t="array" ref="K14">IF($A14="","",IF($J14="No","",GetMatchingValue($XFD$9,"Original","Control Number",K$2,$A14)))</f>
        <v/>
      </c>
      <c r="L14" s="34" t="str" cm="1">
        <f t="array" ref="L14">IF($A14="","",IF($J14="No","",GetMatchingValue($XFD$9,"Original","Control Number",L$2,$A14)))</f>
        <v/>
      </c>
      <c r="M14" s="13" t="str">
        <f t="shared" ca="1" si="2"/>
        <v/>
      </c>
      <c r="N14" s="16"/>
      <c r="O14" s="34" t="str" cm="1">
        <f t="array" ref="O14">IF($A14="","",IF($J14="No","",GetMatchingValue($XFD$9,"Original","Control Number",O$2,$A14)))</f>
        <v/>
      </c>
      <c r="P14" s="34" t="str" cm="1">
        <f t="array" ref="P14">IF($A14="","",IF($J14="No","",GetMatchingValue($XFD$9,"Original","Control Number",P$2,$A14)))</f>
        <v/>
      </c>
      <c r="Q14" s="34" t="str" cm="1">
        <f t="array" ref="Q14">IF($A14="","",IF($J14="No","",GetMatchingValue($XFD$9,"Original","Control Number",Q$2,$A14)))</f>
        <v/>
      </c>
      <c r="R14" s="34" t="str" cm="1">
        <f t="array" ref="R14">IF($A14="","",IF($J14="No","",GetMatchingValue($XFD$9,"Original","Control Number",R$2,$A14)))</f>
        <v/>
      </c>
      <c r="S14" s="34" t="str" cm="1">
        <f t="array" ref="S14">IF($A14="","",IF($J14="No","",GetMatchingValue($XFD$9,"Original","Control Number",S$2,$A14)))</f>
        <v/>
      </c>
      <c r="T14" s="34" t="str" cm="1">
        <f t="array" ref="T14">IF($A14="","",IF($J14="No","",GetMatchingValue($XFD$9,"Original","Control Number",T$2,$A14)))</f>
        <v/>
      </c>
      <c r="U14" s="34" t="str" cm="1">
        <f t="array" ref="U14">IF($A14="","",IF($J14="No","",GetMatchingValue($XFD$9,"Original","Control Number",U$2,$A14)))</f>
        <v/>
      </c>
      <c r="V14" s="14"/>
      <c r="W14" s="17"/>
      <c r="X14" s="17"/>
      <c r="Y14" s="17"/>
      <c r="Z14" s="13"/>
      <c r="AA14" s="13"/>
      <c r="AB14" s="13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3"/>
    </row>
    <row r="15" spans="1:46 16383:16384" ht="36" customHeight="1" x14ac:dyDescent="0.2">
      <c r="A15" s="14"/>
      <c r="B15" s="14"/>
      <c r="C15" s="15"/>
      <c r="D15" s="15"/>
      <c r="E15" s="13"/>
      <c r="F15" s="34" t="str" cm="1">
        <f t="array" ref="F15">IF($A15="","",GetMatchingValue($XFD$8,"Original","Control Number",F$2,$A15))</f>
        <v/>
      </c>
      <c r="G15" s="34" t="str" cm="1">
        <f t="array" ref="G15">IF($A15="","",GetMatchingValue($XFD$8,"Original","Control Number",G$2,$A15))</f>
        <v/>
      </c>
      <c r="H15" s="34" t="str" cm="1">
        <f t="array" ref="H15">IF($A15="","",GetMatchingValue($XFD$8,"Original","Control Number",H$2,$A15))</f>
        <v/>
      </c>
      <c r="I15" s="13"/>
      <c r="J15" s="13" t="str" cm="1">
        <f t="array" ref="J15">IF($A15="","",CheckControlNumberExists($XFD$9, "Original", $A15))</f>
        <v/>
      </c>
      <c r="K15" s="34" t="str" cm="1">
        <f t="array" ref="K15">IF($A15="","",IF($J15="No","",GetMatchingValue($XFD$9,"Original","Control Number",K$2,$A15)))</f>
        <v/>
      </c>
      <c r="L15" s="34" t="str" cm="1">
        <f t="array" ref="L15">IF($A15="","",IF($J15="No","",GetMatchingValue($XFD$9,"Original","Control Number",L$2,$A15)))</f>
        <v/>
      </c>
      <c r="M15" s="13" t="str">
        <f t="shared" ca="1" si="2"/>
        <v/>
      </c>
      <c r="N15" s="16"/>
      <c r="O15" s="34" t="str" cm="1">
        <f t="array" ref="O15">IF($A15="","",IF($J15="No","",GetMatchingValue($XFD$9,"Original","Control Number",O$2,$A15)))</f>
        <v/>
      </c>
      <c r="P15" s="34" t="str" cm="1">
        <f t="array" ref="P15">IF($A15="","",IF($J15="No","",GetMatchingValue($XFD$9,"Original","Control Number",P$2,$A15)))</f>
        <v/>
      </c>
      <c r="Q15" s="34" t="str" cm="1">
        <f t="array" ref="Q15">IF($A15="","",IF($J15="No","",GetMatchingValue($XFD$9,"Original","Control Number",Q$2,$A15)))</f>
        <v/>
      </c>
      <c r="R15" s="34" t="str" cm="1">
        <f t="array" ref="R15">IF($A15="","",IF($J15="No","",GetMatchingValue($XFD$9,"Original","Control Number",R$2,$A15)))</f>
        <v/>
      </c>
      <c r="S15" s="34" t="str" cm="1">
        <f t="array" ref="S15">IF($A15="","",IF($J15="No","",GetMatchingValue($XFD$9,"Original","Control Number",S$2,$A15)))</f>
        <v/>
      </c>
      <c r="T15" s="34" t="str" cm="1">
        <f t="array" ref="T15">IF($A15="","",IF($J15="No","",GetMatchingValue($XFD$9,"Original","Control Number",T$2,$A15)))</f>
        <v/>
      </c>
      <c r="U15" s="34" t="str" cm="1">
        <f t="array" ref="U15">IF($A15="","",IF($J15="No","",GetMatchingValue($XFD$9,"Original","Control Number",U$2,$A15)))</f>
        <v/>
      </c>
      <c r="V15" s="14"/>
      <c r="W15" s="17"/>
      <c r="X15" s="17"/>
      <c r="Y15" s="17"/>
      <c r="Z15" s="13"/>
      <c r="AA15" s="13"/>
      <c r="AB15" s="13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3"/>
    </row>
    <row r="16" spans="1:46 16383:16384" ht="36" customHeight="1" x14ac:dyDescent="0.2">
      <c r="A16" s="18"/>
      <c r="B16" s="14"/>
      <c r="C16" s="15"/>
      <c r="D16" s="15"/>
      <c r="E16" s="13"/>
      <c r="F16" s="34" t="str" cm="1">
        <f t="array" ref="F16">IF($A16="","",GetMatchingValue($XFD$8,"Original","Control Number",F$2,$A16))</f>
        <v/>
      </c>
      <c r="G16" s="34" t="str" cm="1">
        <f t="array" ref="G16">IF($A16="","",GetMatchingValue($XFD$8,"Original","Control Number",G$2,$A16))</f>
        <v/>
      </c>
      <c r="H16" s="34" t="str" cm="1">
        <f t="array" ref="H16">IF($A16="","",GetMatchingValue($XFD$8,"Original","Control Number",H$2,$A16))</f>
        <v/>
      </c>
      <c r="I16" s="13"/>
      <c r="J16" s="13" t="str" cm="1">
        <f t="array" ref="J16">IF($A16="","",CheckControlNumberExists($XFD$9, "Original", $A16))</f>
        <v/>
      </c>
      <c r="K16" s="34" t="str" cm="1">
        <f t="array" ref="K16">IF($A16="","",IF($J16="No","",GetMatchingValue($XFD$9,"Original","Control Number",K$2,$A16)))</f>
        <v/>
      </c>
      <c r="L16" s="34" t="str" cm="1">
        <f t="array" ref="L16">IF($A16="","",IF($J16="No","",GetMatchingValue($XFD$9,"Original","Control Number",L$2,$A16)))</f>
        <v/>
      </c>
      <c r="M16" s="13" t="str">
        <f t="shared" ca="1" si="2"/>
        <v/>
      </c>
      <c r="N16" s="16"/>
      <c r="O16" s="34" t="str" cm="1">
        <f t="array" ref="O16">IF($A16="","",IF($J16="No","",GetMatchingValue($XFD$9,"Original","Control Number",O$2,$A16)))</f>
        <v/>
      </c>
      <c r="P16" s="34" t="str" cm="1">
        <f t="array" ref="P16">IF($A16="","",IF($J16="No","",GetMatchingValue($XFD$9,"Original","Control Number",P$2,$A16)))</f>
        <v/>
      </c>
      <c r="Q16" s="34" t="str" cm="1">
        <f t="array" ref="Q16">IF($A16="","",IF($J16="No","",GetMatchingValue($XFD$9,"Original","Control Number",Q$2,$A16)))</f>
        <v/>
      </c>
      <c r="R16" s="34" t="str" cm="1">
        <f t="array" ref="R16">IF($A16="","",IF($J16="No","",GetMatchingValue($XFD$9,"Original","Control Number",R$2,$A16)))</f>
        <v/>
      </c>
      <c r="S16" s="34" t="str" cm="1">
        <f t="array" ref="S16">IF($A16="","",IF($J16="No","",GetMatchingValue($XFD$9,"Original","Control Number",S$2,$A16)))</f>
        <v/>
      </c>
      <c r="T16" s="34" t="str" cm="1">
        <f t="array" ref="T16">IF($A16="","",IF($J16="No","",GetMatchingValue($XFD$9,"Original","Control Number",T$2,$A16)))</f>
        <v/>
      </c>
      <c r="U16" s="34" t="str" cm="1">
        <f t="array" ref="U16">IF($A16="","",IF($J16="No","",GetMatchingValue($XFD$9,"Original","Control Number",U$2,$A16)))</f>
        <v/>
      </c>
      <c r="V16" s="14"/>
      <c r="W16" s="17"/>
      <c r="X16" s="17"/>
      <c r="Y16" s="17"/>
      <c r="Z16" s="13"/>
      <c r="AA16" s="13"/>
      <c r="AB16" s="13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3"/>
    </row>
    <row r="17" spans="1:45" ht="36" customHeight="1" x14ac:dyDescent="0.2">
      <c r="A17" s="13"/>
      <c r="B17" s="14"/>
      <c r="C17" s="15"/>
      <c r="D17" s="15"/>
      <c r="E17" s="13"/>
      <c r="F17" s="34" t="str" cm="1">
        <f t="array" ref="F17">IF($A17="","",GetMatchingValue($XFD$8,"Original","Control Number",F$2,$A17))</f>
        <v/>
      </c>
      <c r="G17" s="34" t="str" cm="1">
        <f t="array" ref="G17">IF($A17="","",GetMatchingValue($XFD$8,"Original","Control Number",G$2,$A17))</f>
        <v/>
      </c>
      <c r="H17" s="34" t="str" cm="1">
        <f t="array" ref="H17">IF($A17="","",GetMatchingValue($XFD$8,"Original","Control Number",H$2,$A17))</f>
        <v/>
      </c>
      <c r="I17" s="13"/>
      <c r="J17" s="13" t="str" cm="1">
        <f t="array" ref="J17">IF($A17="","",CheckControlNumberExists($XFD$9, "Original", $A17))</f>
        <v/>
      </c>
      <c r="K17" s="34" t="str" cm="1">
        <f t="array" ref="K17">IF($A17="","",IF($J17="No","",GetMatchingValue($XFD$9,"Original","Control Number",K$2,$A17)))</f>
        <v/>
      </c>
      <c r="L17" s="34" t="str" cm="1">
        <f t="array" ref="L17">IF($A17="","",IF($J17="No","",GetMatchingValue($XFD$9,"Original","Control Number",L$2,$A17)))</f>
        <v/>
      </c>
      <c r="M17" s="13" t="str">
        <f t="shared" ca="1" si="2"/>
        <v/>
      </c>
      <c r="N17" s="16"/>
      <c r="O17" s="34" t="str" cm="1">
        <f t="array" ref="O17">IF($A17="","",IF($J17="No","",GetMatchingValue($XFD$9,"Original","Control Number",O$2,$A17)))</f>
        <v/>
      </c>
      <c r="P17" s="34" t="str" cm="1">
        <f t="array" ref="P17">IF($A17="","",IF($J17="No","",GetMatchingValue($XFD$9,"Original","Control Number",P$2,$A17)))</f>
        <v/>
      </c>
      <c r="Q17" s="34" t="str" cm="1">
        <f t="array" ref="Q17">IF($A17="","",IF($J17="No","",GetMatchingValue($XFD$9,"Original","Control Number",Q$2,$A17)))</f>
        <v/>
      </c>
      <c r="R17" s="34" t="str" cm="1">
        <f t="array" ref="R17">IF($A17="","",IF($J17="No","",GetMatchingValue($XFD$9,"Original","Control Number",R$2,$A17)))</f>
        <v/>
      </c>
      <c r="S17" s="34" t="str" cm="1">
        <f t="array" ref="S17">IF($A17="","",IF($J17="No","",GetMatchingValue($XFD$9,"Original","Control Number",S$2,$A17)))</f>
        <v/>
      </c>
      <c r="T17" s="34" t="str" cm="1">
        <f t="array" ref="T17">IF($A17="","",IF($J17="No","",GetMatchingValue($XFD$9,"Original","Control Number",T$2,$A17)))</f>
        <v/>
      </c>
      <c r="U17" s="34" t="str" cm="1">
        <f t="array" ref="U17">IF($A17="","",IF($J17="No","",GetMatchingValue($XFD$9,"Original","Control Number",U$2,$A17)))</f>
        <v/>
      </c>
      <c r="V17" s="14"/>
      <c r="W17" s="17"/>
      <c r="X17" s="17"/>
      <c r="Y17" s="17"/>
      <c r="Z17" s="13"/>
      <c r="AA17" s="13"/>
      <c r="AB17" s="13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3"/>
    </row>
    <row r="18" spans="1:45" ht="36" customHeight="1" x14ac:dyDescent="0.2">
      <c r="A18" s="13"/>
      <c r="B18" s="14"/>
      <c r="C18" s="15"/>
      <c r="D18" s="15"/>
      <c r="E18" s="13"/>
      <c r="F18" s="34" t="str" cm="1">
        <f t="array" ref="F18">IF($A18="","",GetMatchingValue($XFD$8,"Original","Control Number",F$2,$A18))</f>
        <v/>
      </c>
      <c r="G18" s="34" t="str" cm="1">
        <f t="array" ref="G18">IF($A18="","",GetMatchingValue($XFD$8,"Original","Control Number",G$2,$A18))</f>
        <v/>
      </c>
      <c r="H18" s="34" t="str" cm="1">
        <f t="array" ref="H18">IF($A18="","",GetMatchingValue($XFD$8,"Original","Control Number",H$2,$A18))</f>
        <v/>
      </c>
      <c r="I18" s="13"/>
      <c r="J18" s="13" t="str" cm="1">
        <f t="array" ref="J18">IF($A18="","",CheckControlNumberExists($XFD$9, "Original", $A18))</f>
        <v/>
      </c>
      <c r="K18" s="34" t="str" cm="1">
        <f t="array" ref="K18">IF($A18="","",IF($J18="No","",GetMatchingValue($XFD$9,"Original","Control Number",K$2,$A18)))</f>
        <v/>
      </c>
      <c r="L18" s="34" t="str" cm="1">
        <f t="array" ref="L18">IF($A18="","",IF($J18="No","",GetMatchingValue($XFD$9,"Original","Control Number",L$2,$A18)))</f>
        <v/>
      </c>
      <c r="M18" s="13" t="str">
        <f t="shared" ca="1" si="2"/>
        <v/>
      </c>
      <c r="N18" s="16"/>
      <c r="O18" s="34" t="str" cm="1">
        <f t="array" ref="O18">IF($A18="","",IF($J18="No","",GetMatchingValue($XFD$9,"Original","Control Number",O$2,$A18)))</f>
        <v/>
      </c>
      <c r="P18" s="34" t="str" cm="1">
        <f t="array" ref="P18">IF($A18="","",IF($J18="No","",GetMatchingValue($XFD$9,"Original","Control Number",P$2,$A18)))</f>
        <v/>
      </c>
      <c r="Q18" s="34" t="str" cm="1">
        <f t="array" ref="Q18">IF($A18="","",IF($J18="No","",GetMatchingValue($XFD$9,"Original","Control Number",Q$2,$A18)))</f>
        <v/>
      </c>
      <c r="R18" s="34" t="str" cm="1">
        <f t="array" ref="R18">IF($A18="","",IF($J18="No","",GetMatchingValue($XFD$9,"Original","Control Number",R$2,$A18)))</f>
        <v/>
      </c>
      <c r="S18" s="34" t="str" cm="1">
        <f t="array" ref="S18">IF($A18="","",IF($J18="No","",GetMatchingValue($XFD$9,"Original","Control Number",S$2,$A18)))</f>
        <v/>
      </c>
      <c r="T18" s="34" t="str" cm="1">
        <f t="array" ref="T18">IF($A18="","",IF($J18="No","",GetMatchingValue($XFD$9,"Original","Control Number",T$2,$A18)))</f>
        <v/>
      </c>
      <c r="U18" s="34" t="str" cm="1">
        <f t="array" ref="U18">IF($A18="","",IF($J18="No","",GetMatchingValue($XFD$9,"Original","Control Number",U$2,$A18)))</f>
        <v/>
      </c>
      <c r="V18" s="14"/>
      <c r="W18" s="17"/>
      <c r="X18" s="17"/>
      <c r="Y18" s="17"/>
      <c r="Z18" s="13"/>
      <c r="AA18" s="13"/>
      <c r="AB18" s="13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3"/>
    </row>
    <row r="19" spans="1:45" ht="36" customHeight="1" x14ac:dyDescent="0.2">
      <c r="A19" s="19"/>
      <c r="B19" s="14"/>
      <c r="C19" s="15"/>
      <c r="D19" s="15"/>
      <c r="E19" s="13"/>
      <c r="F19" s="34" t="str" cm="1">
        <f t="array" ref="F19">IF($A19="","",GetMatchingValue($XFD$8,"Original","Control Number",F$2,$A19))</f>
        <v/>
      </c>
      <c r="G19" s="34" t="str" cm="1">
        <f t="array" ref="G19">IF($A19="","",GetMatchingValue($XFD$8,"Original","Control Number",G$2,$A19))</f>
        <v/>
      </c>
      <c r="H19" s="34" t="str" cm="1">
        <f t="array" ref="H19">IF($A19="","",GetMatchingValue($XFD$8,"Original","Control Number",H$2,$A19))</f>
        <v/>
      </c>
      <c r="I19" s="13"/>
      <c r="J19" s="13" t="str" cm="1">
        <f t="array" ref="J19">IF($A19="","",CheckControlNumberExists($XFD$9, "Original", $A19))</f>
        <v/>
      </c>
      <c r="K19" s="34" t="str" cm="1">
        <f t="array" ref="K19">IF($A19="","",IF($J19="No","",GetMatchingValue($XFD$9,"Original","Control Number",K$2,$A19)))</f>
        <v/>
      </c>
      <c r="L19" s="34" t="str" cm="1">
        <f t="array" ref="L19">IF($A19="","",IF($J19="No","",GetMatchingValue($XFD$9,"Original","Control Number",L$2,$A19)))</f>
        <v/>
      </c>
      <c r="M19" s="13" t="str">
        <f t="shared" ca="1" si="2"/>
        <v/>
      </c>
      <c r="N19" s="16"/>
      <c r="O19" s="34" t="str" cm="1">
        <f t="array" ref="O19">IF($A19="","",IF($J19="No","",GetMatchingValue($XFD$9,"Original","Control Number",O$2,$A19)))</f>
        <v/>
      </c>
      <c r="P19" s="34" t="str" cm="1">
        <f t="array" ref="P19">IF($A19="","",IF($J19="No","",GetMatchingValue($XFD$9,"Original","Control Number",P$2,$A19)))</f>
        <v/>
      </c>
      <c r="Q19" s="34" t="str" cm="1">
        <f t="array" ref="Q19">IF($A19="","",IF($J19="No","",GetMatchingValue($XFD$9,"Original","Control Number",Q$2,$A19)))</f>
        <v/>
      </c>
      <c r="R19" s="34" t="str" cm="1">
        <f t="array" ref="R19">IF($A19="","",IF($J19="No","",GetMatchingValue($XFD$9,"Original","Control Number",R$2,$A19)))</f>
        <v/>
      </c>
      <c r="S19" s="34" t="str" cm="1">
        <f t="array" ref="S19">IF($A19="","",IF($J19="No","",GetMatchingValue($XFD$9,"Original","Control Number",S$2,$A19)))</f>
        <v/>
      </c>
      <c r="T19" s="34" t="str" cm="1">
        <f t="array" ref="T19">IF($A19="","",IF($J19="No","",GetMatchingValue($XFD$9,"Original","Control Number",T$2,$A19)))</f>
        <v/>
      </c>
      <c r="U19" s="34" t="str" cm="1">
        <f t="array" ref="U19">IF($A19="","",IF($J19="No","",GetMatchingValue($XFD$9,"Original","Control Number",U$2,$A19)))</f>
        <v/>
      </c>
      <c r="V19" s="14"/>
      <c r="W19" s="17"/>
      <c r="X19" s="17"/>
      <c r="Y19" s="17"/>
      <c r="Z19" s="13"/>
      <c r="AA19" s="13"/>
      <c r="AB19" s="13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3"/>
    </row>
    <row r="20" spans="1:45" ht="36" customHeight="1" x14ac:dyDescent="0.2">
      <c r="A20" s="13"/>
      <c r="B20" s="14"/>
      <c r="C20" s="15"/>
      <c r="D20" s="15"/>
      <c r="E20" s="13"/>
      <c r="F20" s="34" t="str" cm="1">
        <f t="array" ref="F20">IF($A20="","",GetMatchingValue($XFD$8,"Original","Control Number",F$2,$A20))</f>
        <v/>
      </c>
      <c r="G20" s="34" t="str" cm="1">
        <f t="array" ref="G20">IF($A20="","",GetMatchingValue($XFD$8,"Original","Control Number",G$2,$A20))</f>
        <v/>
      </c>
      <c r="H20" s="34" t="str" cm="1">
        <f t="array" ref="H20">IF($A20="","",GetMatchingValue($XFD$8,"Original","Control Number",H$2,$A20))</f>
        <v/>
      </c>
      <c r="I20" s="13"/>
      <c r="J20" s="13" t="str" cm="1">
        <f t="array" ref="J20">IF($A20="","",CheckControlNumberExists($XFD$9, "Original", $A20))</f>
        <v/>
      </c>
      <c r="K20" s="34" t="str" cm="1">
        <f t="array" ref="K20">IF($A20="","",IF($J20="No","",GetMatchingValue($XFD$9,"Original","Control Number",K$2,$A20)))</f>
        <v/>
      </c>
      <c r="L20" s="34" t="str" cm="1">
        <f t="array" ref="L20">IF($A20="","",IF($J20="No","",GetMatchingValue($XFD$9,"Original","Control Number",L$2,$A20)))</f>
        <v/>
      </c>
      <c r="M20" s="13" t="str">
        <f t="shared" ca="1" si="2"/>
        <v/>
      </c>
      <c r="N20" s="16"/>
      <c r="O20" s="34" t="str" cm="1">
        <f t="array" ref="O20">IF($A20="","",IF($J20="No","",GetMatchingValue($XFD$9,"Original","Control Number",O$2,$A20)))</f>
        <v/>
      </c>
      <c r="P20" s="34" t="str" cm="1">
        <f t="array" ref="P20">IF($A20="","",IF($J20="No","",GetMatchingValue($XFD$9,"Original","Control Number",P$2,$A20)))</f>
        <v/>
      </c>
      <c r="Q20" s="34" t="str" cm="1">
        <f t="array" ref="Q20">IF($A20="","",IF($J20="No","",GetMatchingValue($XFD$9,"Original","Control Number",Q$2,$A20)))</f>
        <v/>
      </c>
      <c r="R20" s="34" t="str" cm="1">
        <f t="array" ref="R20">IF($A20="","",IF($J20="No","",GetMatchingValue($XFD$9,"Original","Control Number",R$2,$A20)))</f>
        <v/>
      </c>
      <c r="S20" s="34" t="str" cm="1">
        <f t="array" ref="S20">IF($A20="","",IF($J20="No","",GetMatchingValue($XFD$9,"Original","Control Number",S$2,$A20)))</f>
        <v/>
      </c>
      <c r="T20" s="34" t="str" cm="1">
        <f t="array" ref="T20">IF($A20="","",IF($J20="No","",GetMatchingValue($XFD$9,"Original","Control Number",T$2,$A20)))</f>
        <v/>
      </c>
      <c r="U20" s="34" t="str" cm="1">
        <f t="array" ref="U20">IF($A20="","",IF($J20="No","",GetMatchingValue($XFD$9,"Original","Control Number",U$2,$A20)))</f>
        <v/>
      </c>
      <c r="V20" s="14"/>
      <c r="W20" s="17"/>
      <c r="X20" s="17"/>
      <c r="Y20" s="17"/>
      <c r="Z20" s="13"/>
      <c r="AA20" s="13"/>
      <c r="AB20" s="13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3"/>
    </row>
    <row r="21" spans="1:45" ht="36" customHeight="1" x14ac:dyDescent="0.2">
      <c r="A21" s="13"/>
      <c r="B21" s="14"/>
      <c r="C21" s="15"/>
      <c r="D21" s="15"/>
      <c r="E21" s="13"/>
      <c r="F21" s="34" t="str" cm="1">
        <f t="array" ref="F21">IF($A21="","",GetMatchingValue($XFD$8,"Original","Control Number",F$2,$A21))</f>
        <v/>
      </c>
      <c r="G21" s="34" t="str" cm="1">
        <f t="array" ref="G21">IF($A21="","",GetMatchingValue($XFD$8,"Original","Control Number",G$2,$A21))</f>
        <v/>
      </c>
      <c r="H21" s="34" t="str" cm="1">
        <f t="array" ref="H21">IF($A21="","",GetMatchingValue($XFD$8,"Original","Control Number",H$2,$A21))</f>
        <v/>
      </c>
      <c r="I21" s="13"/>
      <c r="J21" s="13" t="str" cm="1">
        <f t="array" ref="J21">IF($A21="","",CheckControlNumberExists($XFD$9, "Original", $A21))</f>
        <v/>
      </c>
      <c r="K21" s="34" t="str" cm="1">
        <f t="array" ref="K21">IF($A21="","",IF($J21="No","",GetMatchingValue($XFD$9,"Original","Control Number",K$2,$A21)))</f>
        <v/>
      </c>
      <c r="L21" s="34" t="str" cm="1">
        <f t="array" ref="L21">IF($A21="","",IF($J21="No","",GetMatchingValue($XFD$9,"Original","Control Number",L$2,$A21)))</f>
        <v/>
      </c>
      <c r="M21" s="13" t="str">
        <f t="shared" ca="1" si="2"/>
        <v/>
      </c>
      <c r="N21" s="16"/>
      <c r="O21" s="34" t="str" cm="1">
        <f t="array" ref="O21">IF($A21="","",IF($J21="No","",GetMatchingValue($XFD$9,"Original","Control Number",O$2,$A21)))</f>
        <v/>
      </c>
      <c r="P21" s="34" t="str" cm="1">
        <f t="array" ref="P21">IF($A21="","",IF($J21="No","",GetMatchingValue($XFD$9,"Original","Control Number",P$2,$A21)))</f>
        <v/>
      </c>
      <c r="Q21" s="34" t="str" cm="1">
        <f t="array" ref="Q21">IF($A21="","",IF($J21="No","",GetMatchingValue($XFD$9,"Original","Control Number",Q$2,$A21)))</f>
        <v/>
      </c>
      <c r="R21" s="34" t="str" cm="1">
        <f t="array" ref="R21">IF($A21="","",IF($J21="No","",GetMatchingValue($XFD$9,"Original","Control Number",R$2,$A21)))</f>
        <v/>
      </c>
      <c r="S21" s="34" t="str" cm="1">
        <f t="array" ref="S21">IF($A21="","",IF($J21="No","",GetMatchingValue($XFD$9,"Original","Control Number",S$2,$A21)))</f>
        <v/>
      </c>
      <c r="T21" s="34" t="str" cm="1">
        <f t="array" ref="T21">IF($A21="","",IF($J21="No","",GetMatchingValue($XFD$9,"Original","Control Number",T$2,$A21)))</f>
        <v/>
      </c>
      <c r="U21" s="34" t="str" cm="1">
        <f t="array" ref="U21">IF($A21="","",IF($J21="No","",GetMatchingValue($XFD$9,"Original","Control Number",U$2,$A21)))</f>
        <v/>
      </c>
      <c r="V21" s="14"/>
      <c r="W21" s="17"/>
      <c r="X21" s="17"/>
      <c r="Y21" s="17"/>
      <c r="Z21" s="13"/>
      <c r="AA21" s="13"/>
      <c r="AB21" s="13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3"/>
    </row>
    <row r="22" spans="1:45" ht="36" customHeight="1" x14ac:dyDescent="0.2">
      <c r="A22" s="13"/>
      <c r="B22" s="14"/>
      <c r="C22" s="15"/>
      <c r="D22" s="15"/>
      <c r="E22" s="13"/>
      <c r="F22" s="34" t="str" cm="1">
        <f t="array" ref="F22">IF($A22="","",GetMatchingValue($XFD$8,"Original","Control Number",F$2,$A22))</f>
        <v/>
      </c>
      <c r="G22" s="34" t="str" cm="1">
        <f t="array" ref="G22">IF($A22="","",GetMatchingValue($XFD$8,"Original","Control Number",G$2,$A22))</f>
        <v/>
      </c>
      <c r="H22" s="34" t="str" cm="1">
        <f t="array" ref="H22">IF($A22="","",GetMatchingValue($XFD$8,"Original","Control Number",H$2,$A22))</f>
        <v/>
      </c>
      <c r="I22" s="13"/>
      <c r="J22" s="13" t="str" cm="1">
        <f t="array" ref="J22">IF($A22="","",CheckControlNumberExists($XFD$9, "Original", $A22))</f>
        <v/>
      </c>
      <c r="K22" s="34" t="str" cm="1">
        <f t="array" ref="K22">IF($A22="","",IF($J22="No","",GetMatchingValue($XFD$9,"Original","Control Number",K$2,$A22)))</f>
        <v/>
      </c>
      <c r="L22" s="34" t="str" cm="1">
        <f t="array" ref="L22">IF($A22="","",IF($J22="No","",GetMatchingValue($XFD$9,"Original","Control Number",L$2,$A22)))</f>
        <v/>
      </c>
      <c r="M22" s="13" t="str">
        <f t="shared" ca="1" si="2"/>
        <v/>
      </c>
      <c r="N22" s="16"/>
      <c r="O22" s="34" t="str" cm="1">
        <f t="array" ref="O22">IF($A22="","",IF($J22="No","",GetMatchingValue($XFD$9,"Original","Control Number",O$2,$A22)))</f>
        <v/>
      </c>
      <c r="P22" s="34" t="str" cm="1">
        <f t="array" ref="P22">IF($A22="","",IF($J22="No","",GetMatchingValue($XFD$9,"Original","Control Number",P$2,$A22)))</f>
        <v/>
      </c>
      <c r="Q22" s="34" t="str" cm="1">
        <f t="array" ref="Q22">IF($A22="","",IF($J22="No","",GetMatchingValue($XFD$9,"Original","Control Number",Q$2,$A22)))</f>
        <v/>
      </c>
      <c r="R22" s="34" t="str" cm="1">
        <f t="array" ref="R22">IF($A22="","",IF($J22="No","",GetMatchingValue($XFD$9,"Original","Control Number",R$2,$A22)))</f>
        <v/>
      </c>
      <c r="S22" s="34" t="str" cm="1">
        <f t="array" ref="S22">IF($A22="","",IF($J22="No","",GetMatchingValue($XFD$9,"Original","Control Number",S$2,$A22)))</f>
        <v/>
      </c>
      <c r="T22" s="34" t="str" cm="1">
        <f t="array" ref="T22">IF($A22="","",IF($J22="No","",GetMatchingValue($XFD$9,"Original","Control Number",T$2,$A22)))</f>
        <v/>
      </c>
      <c r="U22" s="34" t="str" cm="1">
        <f t="array" ref="U22">IF($A22="","",IF($J22="No","",GetMatchingValue($XFD$9,"Original","Control Number",U$2,$A22)))</f>
        <v/>
      </c>
      <c r="V22" s="14"/>
      <c r="W22" s="17"/>
      <c r="X22" s="17"/>
      <c r="Y22" s="17"/>
      <c r="Z22" s="13"/>
      <c r="AA22" s="13"/>
      <c r="AB22" s="13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3"/>
    </row>
    <row r="23" spans="1:45" ht="36" customHeight="1" x14ac:dyDescent="0.2">
      <c r="A23" s="13"/>
      <c r="B23" s="14"/>
      <c r="C23" s="15"/>
      <c r="D23" s="15"/>
      <c r="E23" s="13"/>
      <c r="F23" s="34" t="str" cm="1">
        <f t="array" ref="F23">IF($A23="","",GetMatchingValue($XFD$8,"Original","Control Number",F$2,$A23))</f>
        <v/>
      </c>
      <c r="G23" s="34" t="str" cm="1">
        <f t="array" ref="G23">IF($A23="","",GetMatchingValue($XFD$8,"Original","Control Number",G$2,$A23))</f>
        <v/>
      </c>
      <c r="H23" s="34" t="str" cm="1">
        <f t="array" ref="H23">IF($A23="","",GetMatchingValue($XFD$8,"Original","Control Number",H$2,$A23))</f>
        <v/>
      </c>
      <c r="I23" s="13"/>
      <c r="J23" s="13" t="str" cm="1">
        <f t="array" ref="J23">IF($A23="","",CheckControlNumberExists($XFD$9, "Original", $A23))</f>
        <v/>
      </c>
      <c r="K23" s="34" t="str" cm="1">
        <f t="array" ref="K23">IF($A23="","",IF($J23="No","",GetMatchingValue($XFD$9,"Original","Control Number",K$2,$A23)))</f>
        <v/>
      </c>
      <c r="L23" s="34" t="str" cm="1">
        <f t="array" ref="L23">IF($A23="","",IF($J23="No","",GetMatchingValue($XFD$9,"Original","Control Number",L$2,$A23)))</f>
        <v/>
      </c>
      <c r="M23" s="13" t="str">
        <f t="shared" ca="1" si="2"/>
        <v/>
      </c>
      <c r="N23" s="16"/>
      <c r="O23" s="34" t="str" cm="1">
        <f t="array" ref="O23">IF($A23="","",IF($J23="No","",GetMatchingValue($XFD$9,"Original","Control Number",O$2,$A23)))</f>
        <v/>
      </c>
      <c r="P23" s="34" t="str" cm="1">
        <f t="array" ref="P23">IF($A23="","",IF($J23="No","",GetMatchingValue($XFD$9,"Original","Control Number",P$2,$A23)))</f>
        <v/>
      </c>
      <c r="Q23" s="34" t="str" cm="1">
        <f t="array" ref="Q23">IF($A23="","",IF($J23="No","",GetMatchingValue($XFD$9,"Original","Control Number",Q$2,$A23)))</f>
        <v/>
      </c>
      <c r="R23" s="34" t="str" cm="1">
        <f t="array" ref="R23">IF($A23="","",IF($J23="No","",GetMatchingValue($XFD$9,"Original","Control Number",R$2,$A23)))</f>
        <v/>
      </c>
      <c r="S23" s="34" t="str" cm="1">
        <f t="array" ref="S23">IF($A23="","",IF($J23="No","",GetMatchingValue($XFD$9,"Original","Control Number",S$2,$A23)))</f>
        <v/>
      </c>
      <c r="T23" s="34" t="str" cm="1">
        <f t="array" ref="T23">IF($A23="","",IF($J23="No","",GetMatchingValue($XFD$9,"Original","Control Number",T$2,$A23)))</f>
        <v/>
      </c>
      <c r="U23" s="34" t="str" cm="1">
        <f t="array" ref="U23">IF($A23="","",IF($J23="No","",GetMatchingValue($XFD$9,"Original","Control Number",U$2,$A23)))</f>
        <v/>
      </c>
      <c r="V23" s="14"/>
      <c r="W23" s="17"/>
      <c r="X23" s="17"/>
      <c r="Y23" s="17"/>
      <c r="Z23" s="13"/>
      <c r="AA23" s="13"/>
      <c r="AB23" s="13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3"/>
    </row>
    <row r="24" spans="1:45" ht="36" customHeight="1" x14ac:dyDescent="0.2">
      <c r="A24" s="13"/>
      <c r="B24" s="14"/>
      <c r="C24" s="15"/>
      <c r="D24" s="15"/>
      <c r="E24" s="13"/>
      <c r="F24" s="34" t="str" cm="1">
        <f t="array" ref="F24">IF($A24="","",GetMatchingValue($XFD$8,"Original","Control Number",F$2,$A24))</f>
        <v/>
      </c>
      <c r="G24" s="34" t="str" cm="1">
        <f t="array" ref="G24">IF($A24="","",GetMatchingValue($XFD$8,"Original","Control Number",G$2,$A24))</f>
        <v/>
      </c>
      <c r="H24" s="34" t="str" cm="1">
        <f t="array" ref="H24">IF($A24="","",GetMatchingValue($XFD$8,"Original","Control Number",H$2,$A24))</f>
        <v/>
      </c>
      <c r="I24" s="13"/>
      <c r="J24" s="13" t="str" cm="1">
        <f t="array" ref="J24">IF($A24="","",CheckControlNumberExists($XFD$9, "Original", $A24))</f>
        <v/>
      </c>
      <c r="K24" s="34" t="str" cm="1">
        <f t="array" ref="K24">IF($A24="","",IF($J24="No","",GetMatchingValue($XFD$9,"Original","Control Number",K$2,$A24)))</f>
        <v/>
      </c>
      <c r="L24" s="34" t="str" cm="1">
        <f t="array" ref="L24">IF($A24="","",IF($J24="No","",GetMatchingValue($XFD$9,"Original","Control Number",L$2,$A24)))</f>
        <v/>
      </c>
      <c r="M24" s="13" t="str">
        <f t="shared" ca="1" si="2"/>
        <v/>
      </c>
      <c r="N24" s="16"/>
      <c r="O24" s="34" t="str" cm="1">
        <f t="array" ref="O24">IF($A24="","",IF($J24="No","",GetMatchingValue($XFD$9,"Original","Control Number",O$2,$A24)))</f>
        <v/>
      </c>
      <c r="P24" s="34" t="str" cm="1">
        <f t="array" ref="P24">IF($A24="","",IF($J24="No","",GetMatchingValue($XFD$9,"Original","Control Number",P$2,$A24)))</f>
        <v/>
      </c>
      <c r="Q24" s="34" t="str" cm="1">
        <f t="array" ref="Q24">IF($A24="","",IF($J24="No","",GetMatchingValue($XFD$9,"Original","Control Number",Q$2,$A24)))</f>
        <v/>
      </c>
      <c r="R24" s="34" t="str" cm="1">
        <f t="array" ref="R24">IF($A24="","",IF($J24="No","",GetMatchingValue($XFD$9,"Original","Control Number",R$2,$A24)))</f>
        <v/>
      </c>
      <c r="S24" s="34" t="str" cm="1">
        <f t="array" ref="S24">IF($A24="","",IF($J24="No","",GetMatchingValue($XFD$9,"Original","Control Number",S$2,$A24)))</f>
        <v/>
      </c>
      <c r="T24" s="34" t="str" cm="1">
        <f t="array" ref="T24">IF($A24="","",IF($J24="No","",GetMatchingValue($XFD$9,"Original","Control Number",T$2,$A24)))</f>
        <v/>
      </c>
      <c r="U24" s="34" t="str" cm="1">
        <f t="array" ref="U24">IF($A24="","",IF($J24="No","",GetMatchingValue($XFD$9,"Original","Control Number",U$2,$A24)))</f>
        <v/>
      </c>
      <c r="V24" s="14"/>
      <c r="W24" s="17"/>
      <c r="X24" s="17"/>
      <c r="Y24" s="17"/>
      <c r="Z24" s="13"/>
      <c r="AA24" s="13"/>
      <c r="AB24" s="13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3"/>
    </row>
    <row r="25" spans="1:45" ht="36" customHeight="1" x14ac:dyDescent="0.2">
      <c r="A25" s="13"/>
      <c r="B25" s="14"/>
      <c r="C25" s="15"/>
      <c r="D25" s="15"/>
      <c r="E25" s="13"/>
      <c r="F25" s="34" t="str" cm="1">
        <f t="array" ref="F25">IF($A25="","",GetMatchingValue($XFD$8,"Original","Control Number",F$2,$A25))</f>
        <v/>
      </c>
      <c r="G25" s="34" t="str" cm="1">
        <f t="array" ref="G25">IF($A25="","",GetMatchingValue($XFD$8,"Original","Control Number",G$2,$A25))</f>
        <v/>
      </c>
      <c r="H25" s="34" t="str" cm="1">
        <f t="array" ref="H25">IF($A25="","",GetMatchingValue($XFD$8,"Original","Control Number",H$2,$A25))</f>
        <v/>
      </c>
      <c r="I25" s="13"/>
      <c r="J25" s="13" t="str" cm="1">
        <f t="array" ref="J25">IF($A25="","",CheckControlNumberExists($XFD$9, "Original", $A25))</f>
        <v/>
      </c>
      <c r="K25" s="34" t="str" cm="1">
        <f t="array" ref="K25">IF($A25="","",IF($J25="No","",GetMatchingValue($XFD$9,"Original","Control Number",K$2,$A25)))</f>
        <v/>
      </c>
      <c r="L25" s="34" t="str" cm="1">
        <f t="array" ref="L25">IF($A25="","",IF($J25="No","",GetMatchingValue($XFD$9,"Original","Control Number",L$2,$A25)))</f>
        <v/>
      </c>
      <c r="M25" s="13" t="str">
        <f t="shared" ca="1" si="2"/>
        <v/>
      </c>
      <c r="N25" s="16"/>
      <c r="O25" s="34" t="str" cm="1">
        <f t="array" ref="O25">IF($A25="","",IF($J25="No","",GetMatchingValue($XFD$9,"Original","Control Number",O$2,$A25)))</f>
        <v/>
      </c>
      <c r="P25" s="34" t="str" cm="1">
        <f t="array" ref="P25">IF($A25="","",IF($J25="No","",GetMatchingValue($XFD$9,"Original","Control Number",P$2,$A25)))</f>
        <v/>
      </c>
      <c r="Q25" s="34" t="str" cm="1">
        <f t="array" ref="Q25">IF($A25="","",IF($J25="No","",GetMatchingValue($XFD$9,"Original","Control Number",Q$2,$A25)))</f>
        <v/>
      </c>
      <c r="R25" s="34" t="str" cm="1">
        <f t="array" ref="R25">IF($A25="","",IF($J25="No","",GetMatchingValue($XFD$9,"Original","Control Number",R$2,$A25)))</f>
        <v/>
      </c>
      <c r="S25" s="34" t="str" cm="1">
        <f t="array" ref="S25">IF($A25="","",IF($J25="No","",GetMatchingValue($XFD$9,"Original","Control Number",S$2,$A25)))</f>
        <v/>
      </c>
      <c r="T25" s="34" t="str" cm="1">
        <f t="array" ref="T25">IF($A25="","",IF($J25="No","",GetMatchingValue($XFD$9,"Original","Control Number",T$2,$A25)))</f>
        <v/>
      </c>
      <c r="U25" s="34" t="str" cm="1">
        <f t="array" ref="U25">IF($A25="","",IF($J25="No","",GetMatchingValue($XFD$9,"Original","Control Number",U$2,$A25)))</f>
        <v/>
      </c>
      <c r="V25" s="14"/>
      <c r="W25" s="17"/>
      <c r="X25" s="17"/>
      <c r="Y25" s="17"/>
      <c r="Z25" s="13"/>
      <c r="AA25" s="13"/>
      <c r="AB25" s="13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3"/>
    </row>
    <row r="26" spans="1:45" ht="36" customHeight="1" x14ac:dyDescent="0.2">
      <c r="A26" s="13"/>
      <c r="B26" s="14"/>
      <c r="C26" s="15"/>
      <c r="D26" s="15"/>
      <c r="E26" s="13"/>
      <c r="F26" s="34" t="str" cm="1">
        <f t="array" ref="F26">IF($A26="","",GetMatchingValue($XFD$8,"Original","Control Number",F$2,$A26))</f>
        <v/>
      </c>
      <c r="G26" s="34" t="str" cm="1">
        <f t="array" ref="G26">IF($A26="","",GetMatchingValue($XFD$8,"Original","Control Number",G$2,$A26))</f>
        <v/>
      </c>
      <c r="H26" s="34" t="str" cm="1">
        <f t="array" ref="H26">IF($A26="","",GetMatchingValue($XFD$8,"Original","Control Number",H$2,$A26))</f>
        <v/>
      </c>
      <c r="I26" s="13"/>
      <c r="J26" s="13" t="str" cm="1">
        <f t="array" ref="J26">IF($A26="","",CheckControlNumberExists($XFD$9, "Original", $A26))</f>
        <v/>
      </c>
      <c r="K26" s="34" t="str" cm="1">
        <f t="array" ref="K26">IF($A26="","",IF($J26="No","",GetMatchingValue($XFD$9,"Original","Control Number",K$2,$A26)))</f>
        <v/>
      </c>
      <c r="L26" s="34" t="str" cm="1">
        <f t="array" ref="L26">IF($A26="","",IF($J26="No","",GetMatchingValue($XFD$9,"Original","Control Number",L$2,$A26)))</f>
        <v/>
      </c>
      <c r="M26" s="13" t="str">
        <f t="shared" ca="1" si="2"/>
        <v/>
      </c>
      <c r="N26" s="16"/>
      <c r="O26" s="34" t="str" cm="1">
        <f t="array" ref="O26">IF($A26="","",IF($J26="No","",GetMatchingValue($XFD$9,"Original","Control Number",O$2,$A26)))</f>
        <v/>
      </c>
      <c r="P26" s="34" t="str" cm="1">
        <f t="array" ref="P26">IF($A26="","",IF($J26="No","",GetMatchingValue($XFD$9,"Original","Control Number",P$2,$A26)))</f>
        <v/>
      </c>
      <c r="Q26" s="34" t="str" cm="1">
        <f t="array" ref="Q26">IF($A26="","",IF($J26="No","",GetMatchingValue($XFD$9,"Original","Control Number",Q$2,$A26)))</f>
        <v/>
      </c>
      <c r="R26" s="34" t="str" cm="1">
        <f t="array" ref="R26">IF($A26="","",IF($J26="No","",GetMatchingValue($XFD$9,"Original","Control Number",R$2,$A26)))</f>
        <v/>
      </c>
      <c r="S26" s="34" t="str" cm="1">
        <f t="array" ref="S26">IF($A26="","",IF($J26="No","",GetMatchingValue($XFD$9,"Original","Control Number",S$2,$A26)))</f>
        <v/>
      </c>
      <c r="T26" s="34" t="str" cm="1">
        <f t="array" ref="T26">IF($A26="","",IF($J26="No","",GetMatchingValue($XFD$9,"Original","Control Number",T$2,$A26)))</f>
        <v/>
      </c>
      <c r="U26" s="34" t="str" cm="1">
        <f t="array" ref="U26">IF($A26="","",IF($J26="No","",GetMatchingValue($XFD$9,"Original","Control Number",U$2,$A26)))</f>
        <v/>
      </c>
      <c r="V26" s="14"/>
      <c r="W26" s="17"/>
      <c r="X26" s="17"/>
      <c r="Y26" s="17"/>
      <c r="Z26" s="13"/>
      <c r="AA26" s="13"/>
      <c r="AB26" s="13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3"/>
    </row>
    <row r="27" spans="1:45" ht="36" customHeight="1" x14ac:dyDescent="0.2">
      <c r="A27" s="13"/>
      <c r="B27" s="14"/>
      <c r="C27" s="15"/>
      <c r="D27" s="15"/>
      <c r="E27" s="13"/>
      <c r="F27" s="34" t="str" cm="1">
        <f t="array" ref="F27">IF($A27="","",GetMatchingValue($XFD$8,"Original","Control Number",F$2,$A27))</f>
        <v/>
      </c>
      <c r="G27" s="34" t="str" cm="1">
        <f t="array" ref="G27">IF($A27="","",GetMatchingValue($XFD$8,"Original","Control Number",G$2,$A27))</f>
        <v/>
      </c>
      <c r="H27" s="34" t="str" cm="1">
        <f t="array" ref="H27">IF($A27="","",GetMatchingValue($XFD$8,"Original","Control Number",H$2,$A27))</f>
        <v/>
      </c>
      <c r="I27" s="13"/>
      <c r="J27" s="13" t="str" cm="1">
        <f t="array" ref="J27">IF($A27="","",CheckControlNumberExists($XFD$9, "Original", $A27))</f>
        <v/>
      </c>
      <c r="K27" s="34" t="str" cm="1">
        <f t="array" ref="K27">IF($A27="","",IF($J27="No","",GetMatchingValue($XFD$9,"Original","Control Number",K$2,$A27)))</f>
        <v/>
      </c>
      <c r="L27" s="34" t="str" cm="1">
        <f t="array" ref="L27">IF($A27="","",IF($J27="No","",GetMatchingValue($XFD$9,"Original","Control Number",L$2,$A27)))</f>
        <v/>
      </c>
      <c r="M27" s="13" t="str">
        <f t="shared" ca="1" si="2"/>
        <v/>
      </c>
      <c r="N27" s="16"/>
      <c r="O27" s="34" t="str" cm="1">
        <f t="array" ref="O27">IF($A27="","",IF($J27="No","",GetMatchingValue($XFD$9,"Original","Control Number",O$2,$A27)))</f>
        <v/>
      </c>
      <c r="P27" s="34" t="str" cm="1">
        <f t="array" ref="P27">IF($A27="","",IF($J27="No","",GetMatchingValue($XFD$9,"Original","Control Number",P$2,$A27)))</f>
        <v/>
      </c>
      <c r="Q27" s="34" t="str" cm="1">
        <f t="array" ref="Q27">IF($A27="","",IF($J27="No","",GetMatchingValue($XFD$9,"Original","Control Number",Q$2,$A27)))</f>
        <v/>
      </c>
      <c r="R27" s="34" t="str" cm="1">
        <f t="array" ref="R27">IF($A27="","",IF($J27="No","",GetMatchingValue($XFD$9,"Original","Control Number",R$2,$A27)))</f>
        <v/>
      </c>
      <c r="S27" s="34" t="str" cm="1">
        <f t="array" ref="S27">IF($A27="","",IF($J27="No","",GetMatchingValue($XFD$9,"Original","Control Number",S$2,$A27)))</f>
        <v/>
      </c>
      <c r="T27" s="34" t="str" cm="1">
        <f t="array" ref="T27">IF($A27="","",IF($J27="No","",GetMatchingValue($XFD$9,"Original","Control Number",T$2,$A27)))</f>
        <v/>
      </c>
      <c r="U27" s="34" t="str" cm="1">
        <f t="array" ref="U27">IF($A27="","",IF($J27="No","",GetMatchingValue($XFD$9,"Original","Control Number",U$2,$A27)))</f>
        <v/>
      </c>
      <c r="V27" s="14"/>
      <c r="W27" s="17"/>
      <c r="X27" s="17"/>
      <c r="Y27" s="17"/>
      <c r="Z27" s="13"/>
      <c r="AA27" s="13"/>
      <c r="AB27" s="13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3"/>
    </row>
    <row r="28" spans="1:45" ht="36" customHeight="1" x14ac:dyDescent="0.2">
      <c r="A28" s="18"/>
      <c r="B28" s="14"/>
      <c r="C28" s="15"/>
      <c r="D28" s="15"/>
      <c r="E28" s="13"/>
      <c r="F28" s="34" t="str" cm="1">
        <f t="array" ref="F28">IF($A28="","",GetMatchingValue($XFD$8,"Original","Control Number",F$2,$A28))</f>
        <v/>
      </c>
      <c r="G28" s="34" t="str" cm="1">
        <f t="array" ref="G28">IF($A28="","",GetMatchingValue($XFD$8,"Original","Control Number",G$2,$A28))</f>
        <v/>
      </c>
      <c r="H28" s="34" t="str" cm="1">
        <f t="array" ref="H28">IF($A28="","",GetMatchingValue($XFD$8,"Original","Control Number",H$2,$A28))</f>
        <v/>
      </c>
      <c r="I28" s="13"/>
      <c r="J28" s="13" t="str" cm="1">
        <f t="array" ref="J28">IF($A28="","",CheckControlNumberExists($XFD$9, "Original", $A28))</f>
        <v/>
      </c>
      <c r="K28" s="34" t="str" cm="1">
        <f t="array" ref="K28">IF($A28="","",IF($J28="No","",GetMatchingValue($XFD$9,"Original","Control Number",K$2,$A28)))</f>
        <v/>
      </c>
      <c r="L28" s="34" t="str" cm="1">
        <f t="array" ref="L28">IF($A28="","",IF($J28="No","",GetMatchingValue($XFD$9,"Original","Control Number",L$2,$A28)))</f>
        <v/>
      </c>
      <c r="M28" s="13" t="str">
        <f t="shared" ca="1" si="2"/>
        <v/>
      </c>
      <c r="N28" s="16"/>
      <c r="O28" s="34" t="str" cm="1">
        <f t="array" ref="O28">IF($A28="","",IF($J28="No","",GetMatchingValue($XFD$9,"Original","Control Number",O$2,$A28)))</f>
        <v/>
      </c>
      <c r="P28" s="34" t="str" cm="1">
        <f t="array" ref="P28">IF($A28="","",IF($J28="No","",GetMatchingValue($XFD$9,"Original","Control Number",P$2,$A28)))</f>
        <v/>
      </c>
      <c r="Q28" s="34" t="str" cm="1">
        <f t="array" ref="Q28">IF($A28="","",IF($J28="No","",GetMatchingValue($XFD$9,"Original","Control Number",Q$2,$A28)))</f>
        <v/>
      </c>
      <c r="R28" s="34" t="str" cm="1">
        <f t="array" ref="R28">IF($A28="","",IF($J28="No","",GetMatchingValue($XFD$9,"Original","Control Number",R$2,$A28)))</f>
        <v/>
      </c>
      <c r="S28" s="34" t="str" cm="1">
        <f t="array" ref="S28">IF($A28="","",IF($J28="No","",GetMatchingValue($XFD$9,"Original","Control Number",S$2,$A28)))</f>
        <v/>
      </c>
      <c r="T28" s="34" t="str" cm="1">
        <f t="array" ref="T28">IF($A28="","",IF($J28="No","",GetMatchingValue($XFD$9,"Original","Control Number",T$2,$A28)))</f>
        <v/>
      </c>
      <c r="U28" s="34" t="str" cm="1">
        <f t="array" ref="U28">IF($A28="","",IF($J28="No","",GetMatchingValue($XFD$9,"Original","Control Number",U$2,$A28)))</f>
        <v/>
      </c>
      <c r="V28" s="14"/>
      <c r="W28" s="17"/>
      <c r="X28" s="17"/>
      <c r="Y28" s="17"/>
      <c r="Z28" s="13"/>
      <c r="AA28" s="13"/>
      <c r="AB28" s="13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3"/>
    </row>
    <row r="29" spans="1:45" ht="36" customHeight="1" x14ac:dyDescent="0.2">
      <c r="A29" s="13"/>
      <c r="B29" s="14"/>
      <c r="C29" s="15"/>
      <c r="D29" s="15"/>
      <c r="E29" s="13"/>
      <c r="F29" s="34" t="str" cm="1">
        <f t="array" ref="F29">IF($A29="","",GetMatchingValue($XFD$8,"Original","Control Number",F$2,$A29))</f>
        <v/>
      </c>
      <c r="G29" s="34" t="str" cm="1">
        <f t="array" ref="G29">IF($A29="","",GetMatchingValue($XFD$8,"Original","Control Number",G$2,$A29))</f>
        <v/>
      </c>
      <c r="H29" s="34" t="str" cm="1">
        <f t="array" ref="H29">IF($A29="","",GetMatchingValue($XFD$8,"Original","Control Number",H$2,$A29))</f>
        <v/>
      </c>
      <c r="I29" s="13"/>
      <c r="J29" s="13" t="str" cm="1">
        <f t="array" ref="J29">IF($A29="","",CheckControlNumberExists($XFD$9, "Original", $A29))</f>
        <v/>
      </c>
      <c r="K29" s="34" t="str" cm="1">
        <f t="array" ref="K29">IF($A29="","",IF($J29="No","",GetMatchingValue($XFD$9,"Original","Control Number",K$2,$A29)))</f>
        <v/>
      </c>
      <c r="L29" s="34" t="str" cm="1">
        <f t="array" ref="L29">IF($A29="","",IF($J29="No","",GetMatchingValue($XFD$9,"Original","Control Number",L$2,$A29)))</f>
        <v/>
      </c>
      <c r="M29" s="13" t="str">
        <f t="shared" ca="1" si="2"/>
        <v/>
      </c>
      <c r="N29" s="16"/>
      <c r="O29" s="34" t="str" cm="1">
        <f t="array" ref="O29">IF($A29="","",IF($J29="No","",GetMatchingValue($XFD$9,"Original","Control Number",O$2,$A29)))</f>
        <v/>
      </c>
      <c r="P29" s="34" t="str" cm="1">
        <f t="array" ref="P29">IF($A29="","",IF($J29="No","",GetMatchingValue($XFD$9,"Original","Control Number",P$2,$A29)))</f>
        <v/>
      </c>
      <c r="Q29" s="34" t="str" cm="1">
        <f t="array" ref="Q29">IF($A29="","",IF($J29="No","",GetMatchingValue($XFD$9,"Original","Control Number",Q$2,$A29)))</f>
        <v/>
      </c>
      <c r="R29" s="34" t="str" cm="1">
        <f t="array" ref="R29">IF($A29="","",IF($J29="No","",GetMatchingValue($XFD$9,"Original","Control Number",R$2,$A29)))</f>
        <v/>
      </c>
      <c r="S29" s="34" t="str" cm="1">
        <f t="array" ref="S29">IF($A29="","",IF($J29="No","",GetMatchingValue($XFD$9,"Original","Control Number",S$2,$A29)))</f>
        <v/>
      </c>
      <c r="T29" s="34" t="str" cm="1">
        <f t="array" ref="T29">IF($A29="","",IF($J29="No","",GetMatchingValue($XFD$9,"Original","Control Number",T$2,$A29)))</f>
        <v/>
      </c>
      <c r="U29" s="34" t="str" cm="1">
        <f t="array" ref="U29">IF($A29="","",IF($J29="No","",GetMatchingValue($XFD$9,"Original","Control Number",U$2,$A29)))</f>
        <v/>
      </c>
      <c r="V29" s="14"/>
      <c r="W29" s="17"/>
      <c r="X29" s="17"/>
      <c r="Y29" s="17"/>
      <c r="Z29" s="13"/>
      <c r="AA29" s="13"/>
      <c r="AB29" s="13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3"/>
    </row>
    <row r="30" spans="1:45" ht="36" customHeight="1" x14ac:dyDescent="0.2">
      <c r="A30" s="13"/>
      <c r="B30" s="14"/>
      <c r="C30" s="15"/>
      <c r="D30" s="15"/>
      <c r="E30" s="13"/>
      <c r="F30" s="34" t="str" cm="1">
        <f t="array" ref="F30">IF($A30="","",GetMatchingValue($XFD$8,"Original","Control Number",F$2,$A30))</f>
        <v/>
      </c>
      <c r="G30" s="34" t="str" cm="1">
        <f t="array" ref="G30">IF($A30="","",GetMatchingValue($XFD$8,"Original","Control Number",G$2,$A30))</f>
        <v/>
      </c>
      <c r="H30" s="34" t="str" cm="1">
        <f t="array" ref="H30">IF($A30="","",GetMatchingValue($XFD$8,"Original","Control Number",H$2,$A30))</f>
        <v/>
      </c>
      <c r="I30" s="13"/>
      <c r="J30" s="13" t="str" cm="1">
        <f t="array" ref="J30">IF($A30="","",CheckControlNumberExists($XFD$9, "Original", $A30))</f>
        <v/>
      </c>
      <c r="K30" s="34" t="str" cm="1">
        <f t="array" ref="K30">IF($A30="","",IF($J30="No","",GetMatchingValue($XFD$9,"Original","Control Number",K$2,$A30)))</f>
        <v/>
      </c>
      <c r="L30" s="34" t="str" cm="1">
        <f t="array" ref="L30">IF($A30="","",IF($J30="No","",GetMatchingValue($XFD$9,"Original","Control Number",L$2,$A30)))</f>
        <v/>
      </c>
      <c r="M30" s="13" t="str">
        <f t="shared" ca="1" si="2"/>
        <v/>
      </c>
      <c r="N30" s="16"/>
      <c r="O30" s="34" t="str" cm="1">
        <f t="array" ref="O30">IF($A30="","",IF($J30="No","",GetMatchingValue($XFD$9,"Original","Control Number",O$2,$A30)))</f>
        <v/>
      </c>
      <c r="P30" s="34" t="str" cm="1">
        <f t="array" ref="P30">IF($A30="","",IF($J30="No","",GetMatchingValue($XFD$9,"Original","Control Number",P$2,$A30)))</f>
        <v/>
      </c>
      <c r="Q30" s="34" t="str" cm="1">
        <f t="array" ref="Q30">IF($A30="","",IF($J30="No","",GetMatchingValue($XFD$9,"Original","Control Number",Q$2,$A30)))</f>
        <v/>
      </c>
      <c r="R30" s="34" t="str" cm="1">
        <f t="array" ref="R30">IF($A30="","",IF($J30="No","",GetMatchingValue($XFD$9,"Original","Control Number",R$2,$A30)))</f>
        <v/>
      </c>
      <c r="S30" s="34" t="str" cm="1">
        <f t="array" ref="S30">IF($A30="","",IF($J30="No","",GetMatchingValue($XFD$9,"Original","Control Number",S$2,$A30)))</f>
        <v/>
      </c>
      <c r="T30" s="34" t="str" cm="1">
        <f t="array" ref="T30">IF($A30="","",IF($J30="No","",GetMatchingValue($XFD$9,"Original","Control Number",T$2,$A30)))</f>
        <v/>
      </c>
      <c r="U30" s="34" t="str" cm="1">
        <f t="array" ref="U30">IF($A30="","",IF($J30="No","",GetMatchingValue($XFD$9,"Original","Control Number",U$2,$A30)))</f>
        <v/>
      </c>
      <c r="V30" s="14"/>
      <c r="W30" s="17"/>
      <c r="X30" s="17"/>
      <c r="Y30" s="17"/>
      <c r="Z30" s="13"/>
      <c r="AA30" s="13"/>
      <c r="AB30" s="13"/>
      <c r="AC30" s="20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3"/>
    </row>
    <row r="31" spans="1:45" ht="36" customHeight="1" x14ac:dyDescent="0.2">
      <c r="A31" s="19"/>
      <c r="B31" s="14"/>
      <c r="C31" s="15"/>
      <c r="D31" s="15"/>
      <c r="E31" s="13"/>
      <c r="F31" s="34" t="str" cm="1">
        <f t="array" ref="F31">IF($A31="","",GetMatchingValue($XFD$8,"Original","Control Number",F$2,$A31))</f>
        <v/>
      </c>
      <c r="G31" s="34" t="str" cm="1">
        <f t="array" ref="G31">IF($A31="","",GetMatchingValue($XFD$8,"Original","Control Number",G$2,$A31))</f>
        <v/>
      </c>
      <c r="H31" s="34" t="str" cm="1">
        <f t="array" ref="H31">IF($A31="","",GetMatchingValue($XFD$8,"Original","Control Number",H$2,$A31))</f>
        <v/>
      </c>
      <c r="I31" s="13"/>
      <c r="J31" s="13" t="str" cm="1">
        <f t="array" ref="J31">IF($A31="","",CheckControlNumberExists($XFD$9, "Original", $A31))</f>
        <v/>
      </c>
      <c r="K31" s="34" t="str" cm="1">
        <f t="array" ref="K31">IF($A31="","",IF($J31="No","",GetMatchingValue($XFD$9,"Original","Control Number",K$2,$A31)))</f>
        <v/>
      </c>
      <c r="L31" s="34" t="str" cm="1">
        <f t="array" ref="L31">IF($A31="","",IF($J31="No","",GetMatchingValue($XFD$9,"Original","Control Number",L$2,$A31)))</f>
        <v/>
      </c>
      <c r="M31" s="13" t="str">
        <f t="shared" ca="1" si="2"/>
        <v/>
      </c>
      <c r="N31" s="16"/>
      <c r="O31" s="34" t="str" cm="1">
        <f t="array" ref="O31">IF($A31="","",IF($J31="No","",GetMatchingValue($XFD$9,"Original","Control Number",O$2,$A31)))</f>
        <v/>
      </c>
      <c r="P31" s="34" t="str" cm="1">
        <f t="array" ref="P31">IF($A31="","",IF($J31="No","",GetMatchingValue($XFD$9,"Original","Control Number",P$2,$A31)))</f>
        <v/>
      </c>
      <c r="Q31" s="34" t="str" cm="1">
        <f t="array" ref="Q31">IF($A31="","",IF($J31="No","",GetMatchingValue($XFD$9,"Original","Control Number",Q$2,$A31)))</f>
        <v/>
      </c>
      <c r="R31" s="34" t="str" cm="1">
        <f t="array" ref="R31">IF($A31="","",IF($J31="No","",GetMatchingValue($XFD$9,"Original","Control Number",R$2,$A31)))</f>
        <v/>
      </c>
      <c r="S31" s="34" t="str" cm="1">
        <f t="array" ref="S31">IF($A31="","",IF($J31="No","",GetMatchingValue($XFD$9,"Original","Control Number",S$2,$A31)))</f>
        <v/>
      </c>
      <c r="T31" s="34" t="str" cm="1">
        <f t="array" ref="T31">IF($A31="","",IF($J31="No","",GetMatchingValue($XFD$9,"Original","Control Number",T$2,$A31)))</f>
        <v/>
      </c>
      <c r="U31" s="34" t="str" cm="1">
        <f t="array" ref="U31">IF($A31="","",IF($J31="No","",GetMatchingValue($XFD$9,"Original","Control Number",U$2,$A31)))</f>
        <v/>
      </c>
      <c r="V31" s="14"/>
      <c r="W31" s="17"/>
      <c r="X31" s="17"/>
      <c r="Y31" s="17"/>
      <c r="Z31" s="13"/>
      <c r="AA31" s="13"/>
      <c r="AB31" s="13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3"/>
    </row>
    <row r="32" spans="1:45" ht="36" customHeight="1" x14ac:dyDescent="0.2">
      <c r="A32" s="13"/>
      <c r="B32" s="14"/>
      <c r="C32" s="15"/>
      <c r="D32" s="15"/>
      <c r="E32" s="13"/>
      <c r="F32" s="34" t="str" cm="1">
        <f t="array" ref="F32">IF($A32="","",GetMatchingValue($XFD$8,"Original","Control Number",F$2,$A32))</f>
        <v/>
      </c>
      <c r="G32" s="34" t="str" cm="1">
        <f t="array" ref="G32">IF($A32="","",GetMatchingValue($XFD$8,"Original","Control Number",G$2,$A32))</f>
        <v/>
      </c>
      <c r="H32" s="34" t="str" cm="1">
        <f t="array" ref="H32">IF($A32="","",GetMatchingValue($XFD$8,"Original","Control Number",H$2,$A32))</f>
        <v/>
      </c>
      <c r="I32" s="13"/>
      <c r="J32" s="13" t="str" cm="1">
        <f t="array" ref="J32">IF($A32="","",CheckControlNumberExists($XFD$9, "Original", $A32))</f>
        <v/>
      </c>
      <c r="K32" s="34" t="str" cm="1">
        <f t="array" ref="K32">IF($A32="","",IF($J32="No","",GetMatchingValue($XFD$9,"Original","Control Number",K$2,$A32)))</f>
        <v/>
      </c>
      <c r="L32" s="34" t="str" cm="1">
        <f t="array" ref="L32">IF($A32="","",IF($J32="No","",GetMatchingValue($XFD$9,"Original","Control Number",L$2,$A32)))</f>
        <v/>
      </c>
      <c r="M32" s="13" t="str">
        <f t="shared" ca="1" si="2"/>
        <v/>
      </c>
      <c r="N32" s="16"/>
      <c r="O32" s="34" t="str" cm="1">
        <f t="array" ref="O32">IF($A32="","",IF($J32="No","",GetMatchingValue($XFD$9,"Original","Control Number",O$2,$A32)))</f>
        <v/>
      </c>
      <c r="P32" s="34" t="str" cm="1">
        <f t="array" ref="P32">IF($A32="","",IF($J32="No","",GetMatchingValue($XFD$9,"Original","Control Number",P$2,$A32)))</f>
        <v/>
      </c>
      <c r="Q32" s="34" t="str" cm="1">
        <f t="array" ref="Q32">IF($A32="","",IF($J32="No","",GetMatchingValue($XFD$9,"Original","Control Number",Q$2,$A32)))</f>
        <v/>
      </c>
      <c r="R32" s="34" t="str" cm="1">
        <f t="array" ref="R32">IF($A32="","",IF($J32="No","",GetMatchingValue($XFD$9,"Original","Control Number",R$2,$A32)))</f>
        <v/>
      </c>
      <c r="S32" s="34" t="str" cm="1">
        <f t="array" ref="S32">IF($A32="","",IF($J32="No","",GetMatchingValue($XFD$9,"Original","Control Number",S$2,$A32)))</f>
        <v/>
      </c>
      <c r="T32" s="34" t="str" cm="1">
        <f t="array" ref="T32">IF($A32="","",IF($J32="No","",GetMatchingValue($XFD$9,"Original","Control Number",T$2,$A32)))</f>
        <v/>
      </c>
      <c r="U32" s="34" t="str" cm="1">
        <f t="array" ref="U32">IF($A32="","",IF($J32="No","",GetMatchingValue($XFD$9,"Original","Control Number",U$2,$A32)))</f>
        <v/>
      </c>
      <c r="V32" s="14"/>
      <c r="W32" s="17"/>
      <c r="X32" s="17"/>
      <c r="Y32" s="17"/>
      <c r="Z32" s="13"/>
      <c r="AA32" s="13"/>
      <c r="AB32" s="13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3"/>
    </row>
    <row r="33" spans="1:45" ht="36" customHeight="1" x14ac:dyDescent="0.2">
      <c r="A33" s="13"/>
      <c r="B33" s="14"/>
      <c r="C33" s="15"/>
      <c r="D33" s="15"/>
      <c r="E33" s="13"/>
      <c r="F33" s="34" t="str" cm="1">
        <f t="array" ref="F33">IF($A33="","",GetMatchingValue($XFD$8,"Original","Control Number",F$2,$A33))</f>
        <v/>
      </c>
      <c r="G33" s="34" t="str" cm="1">
        <f t="array" ref="G33">IF($A33="","",GetMatchingValue($XFD$8,"Original","Control Number",G$2,$A33))</f>
        <v/>
      </c>
      <c r="H33" s="34" t="str" cm="1">
        <f t="array" ref="H33">IF($A33="","",GetMatchingValue($XFD$8,"Original","Control Number",H$2,$A33))</f>
        <v/>
      </c>
      <c r="I33" s="13"/>
      <c r="J33" s="13" t="str" cm="1">
        <f t="array" ref="J33">IF($A33="","",CheckControlNumberExists($XFD$9, "Original", $A33))</f>
        <v/>
      </c>
      <c r="K33" s="34" t="str" cm="1">
        <f t="array" ref="K33">IF($A33="","",IF($J33="No","",GetMatchingValue($XFD$9,"Original","Control Number",K$2,$A33)))</f>
        <v/>
      </c>
      <c r="L33" s="34" t="str" cm="1">
        <f t="array" ref="L33">IF($A33="","",IF($J33="No","",GetMatchingValue($XFD$9,"Original","Control Number",L$2,$A33)))</f>
        <v/>
      </c>
      <c r="M33" s="13" t="str">
        <f t="shared" ca="1" si="2"/>
        <v/>
      </c>
      <c r="N33" s="16"/>
      <c r="O33" s="34" t="str" cm="1">
        <f t="array" ref="O33">IF($A33="","",IF($J33="No","",GetMatchingValue($XFD$9,"Original","Control Number",O$2,$A33)))</f>
        <v/>
      </c>
      <c r="P33" s="34" t="str" cm="1">
        <f t="array" ref="P33">IF($A33="","",IF($J33="No","",GetMatchingValue($XFD$9,"Original","Control Number",P$2,$A33)))</f>
        <v/>
      </c>
      <c r="Q33" s="34" t="str" cm="1">
        <f t="array" ref="Q33">IF($A33="","",IF($J33="No","",GetMatchingValue($XFD$9,"Original","Control Number",Q$2,$A33)))</f>
        <v/>
      </c>
      <c r="R33" s="34" t="str" cm="1">
        <f t="array" ref="R33">IF($A33="","",IF($J33="No","",GetMatchingValue($XFD$9,"Original","Control Number",R$2,$A33)))</f>
        <v/>
      </c>
      <c r="S33" s="34" t="str" cm="1">
        <f t="array" ref="S33">IF($A33="","",IF($J33="No","",GetMatchingValue($XFD$9,"Original","Control Number",S$2,$A33)))</f>
        <v/>
      </c>
      <c r="T33" s="34" t="str" cm="1">
        <f t="array" ref="T33">IF($A33="","",IF($J33="No","",GetMatchingValue($XFD$9,"Original","Control Number",T$2,$A33)))</f>
        <v/>
      </c>
      <c r="U33" s="34" t="str" cm="1">
        <f t="array" ref="U33">IF($A33="","",IF($J33="No","",GetMatchingValue($XFD$9,"Original","Control Number",U$2,$A33)))</f>
        <v/>
      </c>
      <c r="V33" s="14"/>
      <c r="W33" s="17"/>
      <c r="X33" s="17"/>
      <c r="Y33" s="17"/>
      <c r="Z33" s="13"/>
      <c r="AA33" s="13"/>
      <c r="AB33" s="13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3"/>
    </row>
    <row r="34" spans="1:45" ht="36" customHeight="1" x14ac:dyDescent="0.2">
      <c r="A34" s="13"/>
      <c r="B34" s="14"/>
      <c r="C34" s="15"/>
      <c r="D34" s="15"/>
      <c r="E34" s="13"/>
      <c r="F34" s="34" t="str" cm="1">
        <f t="array" ref="F34">IF($A34="","",GetMatchingValue($XFD$8,"Original","Control Number",F$2,$A34))</f>
        <v/>
      </c>
      <c r="G34" s="34" t="str" cm="1">
        <f t="array" ref="G34">IF($A34="","",GetMatchingValue($XFD$8,"Original","Control Number",G$2,$A34))</f>
        <v/>
      </c>
      <c r="H34" s="34" t="str" cm="1">
        <f t="array" ref="H34">IF($A34="","",GetMatchingValue($XFD$8,"Original","Control Number",H$2,$A34))</f>
        <v/>
      </c>
      <c r="I34" s="13"/>
      <c r="J34" s="13" t="str" cm="1">
        <f t="array" ref="J34">IF($A34="","",CheckControlNumberExists($XFD$9, "Original", $A34))</f>
        <v/>
      </c>
      <c r="K34" s="34" t="str" cm="1">
        <f t="array" ref="K34">IF($A34="","",IF($J34="No","",GetMatchingValue($XFD$9,"Original","Control Number",K$2,$A34)))</f>
        <v/>
      </c>
      <c r="L34" s="34" t="str" cm="1">
        <f t="array" ref="L34">IF($A34="","",IF($J34="No","",GetMatchingValue($XFD$9,"Original","Control Number",L$2,$A34)))</f>
        <v/>
      </c>
      <c r="M34" s="13" t="str">
        <f t="shared" ca="1" si="2"/>
        <v/>
      </c>
      <c r="N34" s="16"/>
      <c r="O34" s="34" t="str" cm="1">
        <f t="array" ref="O34">IF($A34="","",IF($J34="No","",GetMatchingValue($XFD$9,"Original","Control Number",O$2,$A34)))</f>
        <v/>
      </c>
      <c r="P34" s="34" t="str" cm="1">
        <f t="array" ref="P34">IF($A34="","",IF($J34="No","",GetMatchingValue($XFD$9,"Original","Control Number",P$2,$A34)))</f>
        <v/>
      </c>
      <c r="Q34" s="34" t="str" cm="1">
        <f t="array" ref="Q34">IF($A34="","",IF($J34="No","",GetMatchingValue($XFD$9,"Original","Control Number",Q$2,$A34)))</f>
        <v/>
      </c>
      <c r="R34" s="34" t="str" cm="1">
        <f t="array" ref="R34">IF($A34="","",IF($J34="No","",GetMatchingValue($XFD$9,"Original","Control Number",R$2,$A34)))</f>
        <v/>
      </c>
      <c r="S34" s="34" t="str" cm="1">
        <f t="array" ref="S34">IF($A34="","",IF($J34="No","",GetMatchingValue($XFD$9,"Original","Control Number",S$2,$A34)))</f>
        <v/>
      </c>
      <c r="T34" s="34" t="str" cm="1">
        <f t="array" ref="T34">IF($A34="","",IF($J34="No","",GetMatchingValue($XFD$9,"Original","Control Number",T$2,$A34)))</f>
        <v/>
      </c>
      <c r="U34" s="34" t="str" cm="1">
        <f t="array" ref="U34">IF($A34="","",IF($J34="No","",GetMatchingValue($XFD$9,"Original","Control Number",U$2,$A34)))</f>
        <v/>
      </c>
      <c r="V34" s="14"/>
      <c r="W34" s="17"/>
      <c r="X34" s="17"/>
      <c r="Y34" s="17"/>
      <c r="Z34" s="13"/>
      <c r="AA34" s="13"/>
      <c r="AB34" s="13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3"/>
    </row>
    <row r="35" spans="1:45" ht="36" customHeight="1" x14ac:dyDescent="0.2">
      <c r="A35" s="13"/>
      <c r="B35" s="14"/>
      <c r="C35" s="15"/>
      <c r="D35" s="15"/>
      <c r="E35" s="13"/>
      <c r="F35" s="34" t="str" cm="1">
        <f t="array" ref="F35">IF($A35="","",GetMatchingValue($XFD$8,"Original","Control Number",F$2,$A35))</f>
        <v/>
      </c>
      <c r="G35" s="34" t="str" cm="1">
        <f t="array" ref="G35">IF($A35="","",GetMatchingValue($XFD$8,"Original","Control Number",G$2,$A35))</f>
        <v/>
      </c>
      <c r="H35" s="34" t="str" cm="1">
        <f t="array" ref="H35">IF($A35="","",GetMatchingValue($XFD$8,"Original","Control Number",H$2,$A35))</f>
        <v/>
      </c>
      <c r="I35" s="13"/>
      <c r="J35" s="13" t="str" cm="1">
        <f t="array" ref="J35">IF($A35="","",CheckControlNumberExists($XFD$9, "Original", $A35))</f>
        <v/>
      </c>
      <c r="K35" s="34" t="str" cm="1">
        <f t="array" ref="K35">IF($A35="","",IF($J35="No","",GetMatchingValue($XFD$9,"Original","Control Number",K$2,$A35)))</f>
        <v/>
      </c>
      <c r="L35" s="34" t="str" cm="1">
        <f t="array" ref="L35">IF($A35="","",IF($J35="No","",GetMatchingValue($XFD$9,"Original","Control Number",L$2,$A35)))</f>
        <v/>
      </c>
      <c r="M35" s="13" t="str">
        <f t="shared" ca="1" si="2"/>
        <v/>
      </c>
      <c r="N35" s="16"/>
      <c r="O35" s="34" t="str" cm="1">
        <f t="array" ref="O35">IF($A35="","",IF($J35="No","",GetMatchingValue($XFD$9,"Original","Control Number",O$2,$A35)))</f>
        <v/>
      </c>
      <c r="P35" s="34" t="str" cm="1">
        <f t="array" ref="P35">IF($A35="","",IF($J35="No","",GetMatchingValue($XFD$9,"Original","Control Number",P$2,$A35)))</f>
        <v/>
      </c>
      <c r="Q35" s="34" t="str" cm="1">
        <f t="array" ref="Q35">IF($A35="","",IF($J35="No","",GetMatchingValue($XFD$9,"Original","Control Number",Q$2,$A35)))</f>
        <v/>
      </c>
      <c r="R35" s="34" t="str" cm="1">
        <f t="array" ref="R35">IF($A35="","",IF($J35="No","",GetMatchingValue($XFD$9,"Original","Control Number",R$2,$A35)))</f>
        <v/>
      </c>
      <c r="S35" s="34" t="str" cm="1">
        <f t="array" ref="S35">IF($A35="","",IF($J35="No","",GetMatchingValue($XFD$9,"Original","Control Number",S$2,$A35)))</f>
        <v/>
      </c>
      <c r="T35" s="34" t="str" cm="1">
        <f t="array" ref="T35">IF($A35="","",IF($J35="No","",GetMatchingValue($XFD$9,"Original","Control Number",T$2,$A35)))</f>
        <v/>
      </c>
      <c r="U35" s="34" t="str" cm="1">
        <f t="array" ref="U35">IF($A35="","",IF($J35="No","",GetMatchingValue($XFD$9,"Original","Control Number",U$2,$A35)))</f>
        <v/>
      </c>
      <c r="V35" s="14"/>
      <c r="W35" s="17"/>
      <c r="X35" s="17"/>
      <c r="Y35" s="17"/>
      <c r="Z35" s="13"/>
      <c r="AA35" s="13"/>
      <c r="AB35" s="13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3"/>
    </row>
    <row r="36" spans="1:45" ht="36" customHeight="1" x14ac:dyDescent="0.2">
      <c r="A36" s="13"/>
      <c r="B36" s="14"/>
      <c r="C36" s="15"/>
      <c r="D36" s="15"/>
      <c r="E36" s="13"/>
      <c r="F36" s="34" t="str" cm="1">
        <f t="array" ref="F36">IF($A36="","",GetMatchingValue($XFD$8,"Original","Control Number",F$2,$A36))</f>
        <v/>
      </c>
      <c r="G36" s="34" t="str" cm="1">
        <f t="array" ref="G36">IF($A36="","",GetMatchingValue($XFD$8,"Original","Control Number",G$2,$A36))</f>
        <v/>
      </c>
      <c r="H36" s="34" t="str" cm="1">
        <f t="array" ref="H36">IF($A36="","",GetMatchingValue($XFD$8,"Original","Control Number",H$2,$A36))</f>
        <v/>
      </c>
      <c r="I36" s="13"/>
      <c r="J36" s="13" t="str" cm="1">
        <f t="array" ref="J36">IF($A36="","",CheckControlNumberExists($XFD$9, "Original", $A36))</f>
        <v/>
      </c>
      <c r="K36" s="34" t="str" cm="1">
        <f t="array" ref="K36">IF($A36="","",IF($J36="No","",GetMatchingValue($XFD$9,"Original","Control Number",K$2,$A36)))</f>
        <v/>
      </c>
      <c r="L36" s="34" t="str" cm="1">
        <f t="array" ref="L36">IF($A36="","",IF($J36="No","",GetMatchingValue($XFD$9,"Original","Control Number",L$2,$A36)))</f>
        <v/>
      </c>
      <c r="M36" s="13" t="str">
        <f t="shared" ca="1" si="2"/>
        <v/>
      </c>
      <c r="N36" s="16"/>
      <c r="O36" s="34" t="str" cm="1">
        <f t="array" ref="O36">IF($A36="","",IF($J36="No","",GetMatchingValue($XFD$9,"Original","Control Number",O$2,$A36)))</f>
        <v/>
      </c>
      <c r="P36" s="34" t="str" cm="1">
        <f t="array" ref="P36">IF($A36="","",IF($J36="No","",GetMatchingValue($XFD$9,"Original","Control Number",P$2,$A36)))</f>
        <v/>
      </c>
      <c r="Q36" s="34" t="str" cm="1">
        <f t="array" ref="Q36">IF($A36="","",IF($J36="No","",GetMatchingValue($XFD$9,"Original","Control Number",Q$2,$A36)))</f>
        <v/>
      </c>
      <c r="R36" s="34" t="str" cm="1">
        <f t="array" ref="R36">IF($A36="","",IF($J36="No","",GetMatchingValue($XFD$9,"Original","Control Number",R$2,$A36)))</f>
        <v/>
      </c>
      <c r="S36" s="34" t="str" cm="1">
        <f t="array" ref="S36">IF($A36="","",IF($J36="No","",GetMatchingValue($XFD$9,"Original","Control Number",S$2,$A36)))</f>
        <v/>
      </c>
      <c r="T36" s="34" t="str" cm="1">
        <f t="array" ref="T36">IF($A36="","",IF($J36="No","",GetMatchingValue($XFD$9,"Original","Control Number",T$2,$A36)))</f>
        <v/>
      </c>
      <c r="U36" s="34" t="str" cm="1">
        <f t="array" ref="U36">IF($A36="","",IF($J36="No","",GetMatchingValue($XFD$9,"Original","Control Number",U$2,$A36)))</f>
        <v/>
      </c>
      <c r="V36" s="14"/>
      <c r="W36" s="17"/>
      <c r="X36" s="17"/>
      <c r="Y36" s="17"/>
      <c r="Z36" s="13"/>
      <c r="AA36" s="13"/>
      <c r="AB36" s="13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3"/>
    </row>
    <row r="37" spans="1:45" ht="36" customHeight="1" x14ac:dyDescent="0.2">
      <c r="A37" s="13"/>
      <c r="B37" s="14"/>
      <c r="C37" s="15"/>
      <c r="D37" s="15"/>
      <c r="E37" s="13"/>
      <c r="F37" s="34" t="str" cm="1">
        <f t="array" ref="F37">IF($A37="","",GetMatchingValue($XFD$8,"Original","Control Number",F$2,$A37))</f>
        <v/>
      </c>
      <c r="G37" s="34" t="str" cm="1">
        <f t="array" ref="G37">IF($A37="","",GetMatchingValue($XFD$8,"Original","Control Number",G$2,$A37))</f>
        <v/>
      </c>
      <c r="H37" s="34" t="str" cm="1">
        <f t="array" ref="H37">IF($A37="","",GetMatchingValue($XFD$8,"Original","Control Number",H$2,$A37))</f>
        <v/>
      </c>
      <c r="I37" s="13"/>
      <c r="J37" s="13" t="str" cm="1">
        <f t="array" ref="J37">IF($A37="","",CheckControlNumberExists($XFD$9, "Original", $A37))</f>
        <v/>
      </c>
      <c r="K37" s="34" t="str" cm="1">
        <f t="array" ref="K37">IF($A37="","",IF($J37="No","",GetMatchingValue($XFD$9,"Original","Control Number",K$2,$A37)))</f>
        <v/>
      </c>
      <c r="L37" s="34" t="str" cm="1">
        <f t="array" ref="L37">IF($A37="","",IF($J37="No","",GetMatchingValue($XFD$9,"Original","Control Number",L$2,$A37)))</f>
        <v/>
      </c>
      <c r="M37" s="13" t="str">
        <f t="shared" ca="1" si="2"/>
        <v/>
      </c>
      <c r="N37" s="16"/>
      <c r="O37" s="34" t="str" cm="1">
        <f t="array" ref="O37">IF($A37="","",IF($J37="No","",GetMatchingValue($XFD$9,"Original","Control Number",O$2,$A37)))</f>
        <v/>
      </c>
      <c r="P37" s="34" t="str" cm="1">
        <f t="array" ref="P37">IF($A37="","",IF($J37="No","",GetMatchingValue($XFD$9,"Original","Control Number",P$2,$A37)))</f>
        <v/>
      </c>
      <c r="Q37" s="34" t="str" cm="1">
        <f t="array" ref="Q37">IF($A37="","",IF($J37="No","",GetMatchingValue($XFD$9,"Original","Control Number",Q$2,$A37)))</f>
        <v/>
      </c>
      <c r="R37" s="34" t="str" cm="1">
        <f t="array" ref="R37">IF($A37="","",IF($J37="No","",GetMatchingValue($XFD$9,"Original","Control Number",R$2,$A37)))</f>
        <v/>
      </c>
      <c r="S37" s="34" t="str" cm="1">
        <f t="array" ref="S37">IF($A37="","",IF($J37="No","",GetMatchingValue($XFD$9,"Original","Control Number",S$2,$A37)))</f>
        <v/>
      </c>
      <c r="T37" s="34" t="str" cm="1">
        <f t="array" ref="T37">IF($A37="","",IF($J37="No","",GetMatchingValue($XFD$9,"Original","Control Number",T$2,$A37)))</f>
        <v/>
      </c>
      <c r="U37" s="34" t="str" cm="1">
        <f t="array" ref="U37">IF($A37="","",IF($J37="No","",GetMatchingValue($XFD$9,"Original","Control Number",U$2,$A37)))</f>
        <v/>
      </c>
      <c r="V37" s="14"/>
      <c r="W37" s="17"/>
      <c r="X37" s="17"/>
      <c r="Y37" s="17"/>
      <c r="Z37" s="13"/>
      <c r="AA37" s="13"/>
      <c r="AB37" s="13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3"/>
    </row>
    <row r="38" spans="1:45" ht="36" customHeight="1" x14ac:dyDescent="0.2">
      <c r="A38" s="13"/>
      <c r="B38" s="14"/>
      <c r="C38" s="15"/>
      <c r="D38" s="15"/>
      <c r="E38" s="13"/>
      <c r="F38" s="34" t="str" cm="1">
        <f t="array" ref="F38">IF($A38="","",GetMatchingValue($XFD$8,"Original","Control Number",F$2,$A38))</f>
        <v/>
      </c>
      <c r="G38" s="34" t="str" cm="1">
        <f t="array" ref="G38">IF($A38="","",GetMatchingValue($XFD$8,"Original","Control Number",G$2,$A38))</f>
        <v/>
      </c>
      <c r="H38" s="34" t="str" cm="1">
        <f t="array" ref="H38">IF($A38="","",GetMatchingValue($XFD$8,"Original","Control Number",H$2,$A38))</f>
        <v/>
      </c>
      <c r="I38" s="13"/>
      <c r="J38" s="13" t="str" cm="1">
        <f t="array" ref="J38">IF($A38="","",CheckControlNumberExists($XFD$9, "Original", $A38))</f>
        <v/>
      </c>
      <c r="K38" s="34" t="str" cm="1">
        <f t="array" ref="K38">IF($A38="","",IF($J38="No","",GetMatchingValue($XFD$9,"Original","Control Number",K$2,$A38)))</f>
        <v/>
      </c>
      <c r="L38" s="34" t="str" cm="1">
        <f t="array" ref="L38">IF($A38="","",IF($J38="No","",GetMatchingValue($XFD$9,"Original","Control Number",L$2,$A38)))</f>
        <v/>
      </c>
      <c r="M38" s="13" t="str">
        <f t="shared" ca="1" si="2"/>
        <v/>
      </c>
      <c r="N38" s="16"/>
      <c r="O38" s="34" t="str" cm="1">
        <f t="array" ref="O38">IF($A38="","",IF($J38="No","",GetMatchingValue($XFD$9,"Original","Control Number",O$2,$A38)))</f>
        <v/>
      </c>
      <c r="P38" s="34" t="str" cm="1">
        <f t="array" ref="P38">IF($A38="","",IF($J38="No","",GetMatchingValue($XFD$9,"Original","Control Number",P$2,$A38)))</f>
        <v/>
      </c>
      <c r="Q38" s="34" t="str" cm="1">
        <f t="array" ref="Q38">IF($A38="","",IF($J38="No","",GetMatchingValue($XFD$9,"Original","Control Number",Q$2,$A38)))</f>
        <v/>
      </c>
      <c r="R38" s="34" t="str" cm="1">
        <f t="array" ref="R38">IF($A38="","",IF($J38="No","",GetMatchingValue($XFD$9,"Original","Control Number",R$2,$A38)))</f>
        <v/>
      </c>
      <c r="S38" s="34" t="str" cm="1">
        <f t="array" ref="S38">IF($A38="","",IF($J38="No","",GetMatchingValue($XFD$9,"Original","Control Number",S$2,$A38)))</f>
        <v/>
      </c>
      <c r="T38" s="34" t="str" cm="1">
        <f t="array" ref="T38">IF($A38="","",IF($J38="No","",GetMatchingValue($XFD$9,"Original","Control Number",T$2,$A38)))</f>
        <v/>
      </c>
      <c r="U38" s="34" t="str" cm="1">
        <f t="array" ref="U38">IF($A38="","",IF($J38="No","",GetMatchingValue($XFD$9,"Original","Control Number",U$2,$A38)))</f>
        <v/>
      </c>
      <c r="V38" s="14"/>
      <c r="W38" s="17"/>
      <c r="X38" s="17"/>
      <c r="Y38" s="17"/>
      <c r="Z38" s="13"/>
      <c r="AA38" s="13"/>
      <c r="AB38" s="13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3"/>
    </row>
    <row r="39" spans="1:45" ht="36" customHeight="1" x14ac:dyDescent="0.2">
      <c r="A39" s="13"/>
      <c r="B39" s="14"/>
      <c r="C39" s="15"/>
      <c r="D39" s="15"/>
      <c r="E39" s="13"/>
      <c r="F39" s="34" t="str" cm="1">
        <f t="array" ref="F39">IF($A39="","",GetMatchingValue($XFD$8,"Original","Control Number",F$2,$A39))</f>
        <v/>
      </c>
      <c r="G39" s="34" t="str" cm="1">
        <f t="array" ref="G39">IF($A39="","",GetMatchingValue($XFD$8,"Original","Control Number",G$2,$A39))</f>
        <v/>
      </c>
      <c r="H39" s="34" t="str" cm="1">
        <f t="array" ref="H39">IF($A39="","",GetMatchingValue($XFD$8,"Original","Control Number",H$2,$A39))</f>
        <v/>
      </c>
      <c r="I39" s="13"/>
      <c r="J39" s="13" t="str" cm="1">
        <f t="array" ref="J39">IF($A39="","",CheckControlNumberExists($XFD$9, "Original", $A39))</f>
        <v/>
      </c>
      <c r="K39" s="34" t="str" cm="1">
        <f t="array" ref="K39">IF($A39="","",IF($J39="No","",GetMatchingValue($XFD$9,"Original","Control Number",K$2,$A39)))</f>
        <v/>
      </c>
      <c r="L39" s="34" t="str" cm="1">
        <f t="array" ref="L39">IF($A39="","",IF($J39="No","",GetMatchingValue($XFD$9,"Original","Control Number",L$2,$A39)))</f>
        <v/>
      </c>
      <c r="M39" s="13" t="str">
        <f t="shared" ca="1" si="2"/>
        <v/>
      </c>
      <c r="N39" s="16"/>
      <c r="O39" s="34" t="str" cm="1">
        <f t="array" ref="O39">IF($A39="","",IF($J39="No","",GetMatchingValue($XFD$9,"Original","Control Number",O$2,$A39)))</f>
        <v/>
      </c>
      <c r="P39" s="34" t="str" cm="1">
        <f t="array" ref="P39">IF($A39="","",IF($J39="No","",GetMatchingValue($XFD$9,"Original","Control Number",P$2,$A39)))</f>
        <v/>
      </c>
      <c r="Q39" s="34" t="str" cm="1">
        <f t="array" ref="Q39">IF($A39="","",IF($J39="No","",GetMatchingValue($XFD$9,"Original","Control Number",Q$2,$A39)))</f>
        <v/>
      </c>
      <c r="R39" s="34" t="str" cm="1">
        <f t="array" ref="R39">IF($A39="","",IF($J39="No","",GetMatchingValue($XFD$9,"Original","Control Number",R$2,$A39)))</f>
        <v/>
      </c>
      <c r="S39" s="34" t="str" cm="1">
        <f t="array" ref="S39">IF($A39="","",IF($J39="No","",GetMatchingValue($XFD$9,"Original","Control Number",S$2,$A39)))</f>
        <v/>
      </c>
      <c r="T39" s="34" t="str" cm="1">
        <f t="array" ref="T39">IF($A39="","",IF($J39="No","",GetMatchingValue($XFD$9,"Original","Control Number",T$2,$A39)))</f>
        <v/>
      </c>
      <c r="U39" s="34" t="str" cm="1">
        <f t="array" ref="U39">IF($A39="","",IF($J39="No","",GetMatchingValue($XFD$9,"Original","Control Number",U$2,$A39)))</f>
        <v/>
      </c>
      <c r="V39" s="14"/>
      <c r="W39" s="17"/>
      <c r="X39" s="17"/>
      <c r="Y39" s="17"/>
      <c r="Z39" s="13"/>
      <c r="AA39" s="13"/>
      <c r="AB39" s="13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3"/>
    </row>
    <row r="40" spans="1:45" ht="36" customHeight="1" x14ac:dyDescent="0.2">
      <c r="A40" s="13"/>
      <c r="B40" s="14"/>
      <c r="C40" s="15"/>
      <c r="D40" s="15"/>
      <c r="E40" s="13"/>
      <c r="F40" s="34" t="str" cm="1">
        <f t="array" ref="F40">IF($A40="","",GetMatchingValue($XFD$8,"Original","Control Number",F$2,$A40))</f>
        <v/>
      </c>
      <c r="G40" s="34" t="str" cm="1">
        <f t="array" ref="G40">IF($A40="","",GetMatchingValue($XFD$8,"Original","Control Number",G$2,$A40))</f>
        <v/>
      </c>
      <c r="H40" s="34" t="str" cm="1">
        <f t="array" ref="H40">IF($A40="","",GetMatchingValue($XFD$8,"Original","Control Number",H$2,$A40))</f>
        <v/>
      </c>
      <c r="I40" s="13"/>
      <c r="J40" s="13" t="str" cm="1">
        <f t="array" ref="J40">IF($A40="","",CheckControlNumberExists($XFD$9, "Original", $A40))</f>
        <v/>
      </c>
      <c r="K40" s="34" t="str" cm="1">
        <f t="array" ref="K40">IF($A40="","",IF($J40="No","",GetMatchingValue($XFD$9,"Original","Control Number",K$2,$A40)))</f>
        <v/>
      </c>
      <c r="L40" s="34" t="str" cm="1">
        <f t="array" ref="L40">IF($A40="","",IF($J40="No","",GetMatchingValue($XFD$9,"Original","Control Number",L$2,$A40)))</f>
        <v/>
      </c>
      <c r="M40" s="13" t="str">
        <f t="shared" ca="1" si="2"/>
        <v/>
      </c>
      <c r="N40" s="16"/>
      <c r="O40" s="34" t="str" cm="1">
        <f t="array" ref="O40">IF($A40="","",IF($J40="No","",GetMatchingValue($XFD$9,"Original","Control Number",O$2,$A40)))</f>
        <v/>
      </c>
      <c r="P40" s="34" t="str" cm="1">
        <f t="array" ref="P40">IF($A40="","",IF($J40="No","",GetMatchingValue($XFD$9,"Original","Control Number",P$2,$A40)))</f>
        <v/>
      </c>
      <c r="Q40" s="34" t="str" cm="1">
        <f t="array" ref="Q40">IF($A40="","",IF($J40="No","",GetMatchingValue($XFD$9,"Original","Control Number",Q$2,$A40)))</f>
        <v/>
      </c>
      <c r="R40" s="34" t="str" cm="1">
        <f t="array" ref="R40">IF($A40="","",IF($J40="No","",GetMatchingValue($XFD$9,"Original","Control Number",R$2,$A40)))</f>
        <v/>
      </c>
      <c r="S40" s="34" t="str" cm="1">
        <f t="array" ref="S40">IF($A40="","",IF($J40="No","",GetMatchingValue($XFD$9,"Original","Control Number",S$2,$A40)))</f>
        <v/>
      </c>
      <c r="T40" s="34" t="str" cm="1">
        <f t="array" ref="T40">IF($A40="","",IF($J40="No","",GetMatchingValue($XFD$9,"Original","Control Number",T$2,$A40)))</f>
        <v/>
      </c>
      <c r="U40" s="34" t="str" cm="1">
        <f t="array" ref="U40">IF($A40="","",IF($J40="No","",GetMatchingValue($XFD$9,"Original","Control Number",U$2,$A40)))</f>
        <v/>
      </c>
      <c r="V40" s="14"/>
      <c r="W40" s="17"/>
      <c r="X40" s="17"/>
      <c r="Y40" s="17"/>
      <c r="Z40" s="13"/>
      <c r="AA40" s="13"/>
      <c r="AB40" s="13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3"/>
    </row>
    <row r="41" spans="1:45" ht="36" customHeight="1" x14ac:dyDescent="0.2">
      <c r="A41" s="13"/>
      <c r="B41" s="14"/>
      <c r="C41" s="15"/>
      <c r="D41" s="15"/>
      <c r="E41" s="13"/>
      <c r="F41" s="34" t="str" cm="1">
        <f t="array" ref="F41">IF($A41="","",GetMatchingValue($XFD$8,"Original","Control Number",F$2,$A41))</f>
        <v/>
      </c>
      <c r="G41" s="34" t="str" cm="1">
        <f t="array" ref="G41">IF($A41="","",GetMatchingValue($XFD$8,"Original","Control Number",G$2,$A41))</f>
        <v/>
      </c>
      <c r="H41" s="34" t="str" cm="1">
        <f t="array" ref="H41">IF($A41="","",GetMatchingValue($XFD$8,"Original","Control Number",H$2,$A41))</f>
        <v/>
      </c>
      <c r="I41" s="13"/>
      <c r="J41" s="13" t="str" cm="1">
        <f t="array" ref="J41">IF($A41="","",CheckControlNumberExists($XFD$9, "Original", $A41))</f>
        <v/>
      </c>
      <c r="K41" s="34" t="str" cm="1">
        <f t="array" ref="K41">IF($A41="","",IF($J41="No","",GetMatchingValue($XFD$9,"Original","Control Number",K$2,$A41)))</f>
        <v/>
      </c>
      <c r="L41" s="34" t="str" cm="1">
        <f t="array" ref="L41">IF($A41="","",IF($J41="No","",GetMatchingValue($XFD$9,"Original","Control Number",L$2,$A41)))</f>
        <v/>
      </c>
      <c r="M41" s="13" t="str">
        <f t="shared" ca="1" si="2"/>
        <v/>
      </c>
      <c r="N41" s="16"/>
      <c r="O41" s="34" t="str" cm="1">
        <f t="array" ref="O41">IF($A41="","",IF($J41="No","",GetMatchingValue($XFD$9,"Original","Control Number",O$2,$A41)))</f>
        <v/>
      </c>
      <c r="P41" s="34" t="str" cm="1">
        <f t="array" ref="P41">IF($A41="","",IF($J41="No","",GetMatchingValue($XFD$9,"Original","Control Number",P$2,$A41)))</f>
        <v/>
      </c>
      <c r="Q41" s="34" t="str" cm="1">
        <f t="array" ref="Q41">IF($A41="","",IF($J41="No","",GetMatchingValue($XFD$9,"Original","Control Number",Q$2,$A41)))</f>
        <v/>
      </c>
      <c r="R41" s="34" t="str" cm="1">
        <f t="array" ref="R41">IF($A41="","",IF($J41="No","",GetMatchingValue($XFD$9,"Original","Control Number",R$2,$A41)))</f>
        <v/>
      </c>
      <c r="S41" s="34" t="str" cm="1">
        <f t="array" ref="S41">IF($A41="","",IF($J41="No","",GetMatchingValue($XFD$9,"Original","Control Number",S$2,$A41)))</f>
        <v/>
      </c>
      <c r="T41" s="34" t="str" cm="1">
        <f t="array" ref="T41">IF($A41="","",IF($J41="No","",GetMatchingValue($XFD$9,"Original","Control Number",T$2,$A41)))</f>
        <v/>
      </c>
      <c r="U41" s="34" t="str" cm="1">
        <f t="array" ref="U41">IF($A41="","",IF($J41="No","",GetMatchingValue($XFD$9,"Original","Control Number",U$2,$A41)))</f>
        <v/>
      </c>
      <c r="V41" s="14"/>
      <c r="W41" s="17"/>
      <c r="X41" s="17"/>
      <c r="Y41" s="17"/>
      <c r="Z41" s="13"/>
      <c r="AA41" s="13"/>
      <c r="AB41" s="13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3"/>
    </row>
    <row r="42" spans="1:45" ht="36" customHeight="1" x14ac:dyDescent="0.2">
      <c r="A42" s="18"/>
      <c r="B42" s="14"/>
      <c r="C42" s="15"/>
      <c r="D42" s="15"/>
      <c r="E42" s="13"/>
      <c r="F42" s="34" t="str" cm="1">
        <f t="array" ref="F42">IF($A42="","",GetMatchingValue($XFD$8,"Original","Control Number",F$2,$A42))</f>
        <v/>
      </c>
      <c r="G42" s="34" t="str" cm="1">
        <f t="array" ref="G42">IF($A42="","",GetMatchingValue($XFD$8,"Original","Control Number",G$2,$A42))</f>
        <v/>
      </c>
      <c r="H42" s="34" t="str" cm="1">
        <f t="array" ref="H42">IF($A42="","",GetMatchingValue($XFD$8,"Original","Control Number",H$2,$A42))</f>
        <v/>
      </c>
      <c r="I42" s="13"/>
      <c r="J42" s="13" t="str" cm="1">
        <f t="array" ref="J42">IF($A42="","",CheckControlNumberExists($XFD$9, "Original", $A42))</f>
        <v/>
      </c>
      <c r="K42" s="34" t="str" cm="1">
        <f t="array" ref="K42">IF($A42="","",IF($J42="No","",GetMatchingValue($XFD$9,"Original","Control Number",K$2,$A42)))</f>
        <v/>
      </c>
      <c r="L42" s="34" t="str" cm="1">
        <f t="array" ref="L42">IF($A42="","",IF($J42="No","",GetMatchingValue($XFD$9,"Original","Control Number",L$2,$A42)))</f>
        <v/>
      </c>
      <c r="M42" s="13" t="str">
        <f t="shared" ca="1" si="2"/>
        <v/>
      </c>
      <c r="N42" s="16"/>
      <c r="O42" s="34" t="str" cm="1">
        <f t="array" ref="O42">IF($A42="","",IF($J42="No","",GetMatchingValue($XFD$9,"Original","Control Number",O$2,$A42)))</f>
        <v/>
      </c>
      <c r="P42" s="34" t="str" cm="1">
        <f t="array" ref="P42">IF($A42="","",IF($J42="No","",GetMatchingValue($XFD$9,"Original","Control Number",P$2,$A42)))</f>
        <v/>
      </c>
      <c r="Q42" s="34" t="str" cm="1">
        <f t="array" ref="Q42">IF($A42="","",IF($J42="No","",GetMatchingValue($XFD$9,"Original","Control Number",Q$2,$A42)))</f>
        <v/>
      </c>
      <c r="R42" s="34" t="str" cm="1">
        <f t="array" ref="R42">IF($A42="","",IF($J42="No","",GetMatchingValue($XFD$9,"Original","Control Number",R$2,$A42)))</f>
        <v/>
      </c>
      <c r="S42" s="34" t="str" cm="1">
        <f t="array" ref="S42">IF($A42="","",IF($J42="No","",GetMatchingValue($XFD$9,"Original","Control Number",S$2,$A42)))</f>
        <v/>
      </c>
      <c r="T42" s="34" t="str" cm="1">
        <f t="array" ref="T42">IF($A42="","",IF($J42="No","",GetMatchingValue($XFD$9,"Original","Control Number",T$2,$A42)))</f>
        <v/>
      </c>
      <c r="U42" s="34" t="str" cm="1">
        <f t="array" ref="U42">IF($A42="","",IF($J42="No","",GetMatchingValue($XFD$9,"Original","Control Number",U$2,$A42)))</f>
        <v/>
      </c>
      <c r="V42" s="14"/>
      <c r="W42" s="17"/>
      <c r="X42" s="17"/>
      <c r="Y42" s="17"/>
      <c r="Z42" s="13"/>
      <c r="AA42" s="13"/>
      <c r="AB42" s="13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3"/>
    </row>
    <row r="43" spans="1:45" ht="36" customHeight="1" x14ac:dyDescent="0.2">
      <c r="A43" s="14"/>
      <c r="B43" s="14"/>
      <c r="C43" s="15"/>
      <c r="D43" s="15"/>
      <c r="E43" s="13"/>
      <c r="F43" s="34" t="str" cm="1">
        <f t="array" ref="F43">IF($A43="","",GetMatchingValue($XFD$8,"Original","Control Number",F$2,$A43))</f>
        <v/>
      </c>
      <c r="G43" s="34" t="str" cm="1">
        <f t="array" ref="G43">IF($A43="","",GetMatchingValue($XFD$8,"Original","Control Number",G$2,$A43))</f>
        <v/>
      </c>
      <c r="H43" s="34" t="str" cm="1">
        <f t="array" ref="H43">IF($A43="","",GetMatchingValue($XFD$8,"Original","Control Number",H$2,$A43))</f>
        <v/>
      </c>
      <c r="I43" s="13"/>
      <c r="J43" s="13" t="str" cm="1">
        <f t="array" ref="J43">IF($A43="","",CheckControlNumberExists($XFD$9, "Original", $A43))</f>
        <v/>
      </c>
      <c r="K43" s="34" t="str" cm="1">
        <f t="array" ref="K43">IF($A43="","",IF($J43="No","",GetMatchingValue($XFD$9,"Original","Control Number",K$2,$A43)))</f>
        <v/>
      </c>
      <c r="L43" s="34" t="str" cm="1">
        <f t="array" ref="L43">IF($A43="","",IF($J43="No","",GetMatchingValue($XFD$9,"Original","Control Number",L$2,$A43)))</f>
        <v/>
      </c>
      <c r="M43" s="13" t="str">
        <f t="shared" ca="1" si="2"/>
        <v/>
      </c>
      <c r="N43" s="16"/>
      <c r="O43" s="34" t="str" cm="1">
        <f t="array" ref="O43">IF($A43="","",IF($J43="No","",GetMatchingValue($XFD$9,"Original","Control Number",O$2,$A43)))</f>
        <v/>
      </c>
      <c r="P43" s="34" t="str" cm="1">
        <f t="array" ref="P43">IF($A43="","",IF($J43="No","",GetMatchingValue($XFD$9,"Original","Control Number",P$2,$A43)))</f>
        <v/>
      </c>
      <c r="Q43" s="34" t="str" cm="1">
        <f t="array" ref="Q43">IF($A43="","",IF($J43="No","",GetMatchingValue($XFD$9,"Original","Control Number",Q$2,$A43)))</f>
        <v/>
      </c>
      <c r="R43" s="34" t="str" cm="1">
        <f t="array" ref="R43">IF($A43="","",IF($J43="No","",GetMatchingValue($XFD$9,"Original","Control Number",R$2,$A43)))</f>
        <v/>
      </c>
      <c r="S43" s="34" t="str" cm="1">
        <f t="array" ref="S43">IF($A43="","",IF($J43="No","",GetMatchingValue($XFD$9,"Original","Control Number",S$2,$A43)))</f>
        <v/>
      </c>
      <c r="T43" s="34" t="str" cm="1">
        <f t="array" ref="T43">IF($A43="","",IF($J43="No","",GetMatchingValue($XFD$9,"Original","Control Number",T$2,$A43)))</f>
        <v/>
      </c>
      <c r="U43" s="34" t="str" cm="1">
        <f t="array" ref="U43">IF($A43="","",IF($J43="No","",GetMatchingValue($XFD$9,"Original","Control Number",U$2,$A43)))</f>
        <v/>
      </c>
      <c r="V43" s="14"/>
      <c r="W43" s="17"/>
      <c r="X43" s="17"/>
      <c r="Y43" s="17"/>
      <c r="Z43" s="13"/>
      <c r="AA43" s="13"/>
      <c r="AB43" s="13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3"/>
    </row>
    <row r="44" spans="1:45" ht="36" customHeight="1" x14ac:dyDescent="0.2">
      <c r="A44" s="13"/>
      <c r="B44" s="14"/>
      <c r="C44" s="15"/>
      <c r="D44" s="15"/>
      <c r="E44" s="13"/>
      <c r="F44" s="34" t="str" cm="1">
        <f t="array" ref="F44">IF($A44="","",GetMatchingValue($XFD$8,"Original","Control Number",F$2,$A44))</f>
        <v/>
      </c>
      <c r="G44" s="34" t="str" cm="1">
        <f t="array" ref="G44">IF($A44="","",GetMatchingValue($XFD$8,"Original","Control Number",G$2,$A44))</f>
        <v/>
      </c>
      <c r="H44" s="34" t="str" cm="1">
        <f t="array" ref="H44">IF($A44="","",GetMatchingValue($XFD$8,"Original","Control Number",H$2,$A44))</f>
        <v/>
      </c>
      <c r="I44" s="13"/>
      <c r="J44" s="13" t="str" cm="1">
        <f t="array" ref="J44">IF($A44="","",CheckControlNumberExists($XFD$9, "Original", $A44))</f>
        <v/>
      </c>
      <c r="K44" s="34" t="str" cm="1">
        <f t="array" ref="K44">IF($A44="","",IF($J44="No","",GetMatchingValue($XFD$9,"Original","Control Number",K$2,$A44)))</f>
        <v/>
      </c>
      <c r="L44" s="34" t="str" cm="1">
        <f t="array" ref="L44">IF($A44="","",IF($J44="No","",GetMatchingValue($XFD$9,"Original","Control Number",L$2,$A44)))</f>
        <v/>
      </c>
      <c r="M44" s="13" t="str">
        <f t="shared" ca="1" si="2"/>
        <v/>
      </c>
      <c r="N44" s="16"/>
      <c r="O44" s="34" t="str" cm="1">
        <f t="array" ref="O44">IF($A44="","",IF($J44="No","",GetMatchingValue($XFD$9,"Original","Control Number",O$2,$A44)))</f>
        <v/>
      </c>
      <c r="P44" s="34" t="str" cm="1">
        <f t="array" ref="P44">IF($A44="","",IF($J44="No","",GetMatchingValue($XFD$9,"Original","Control Number",P$2,$A44)))</f>
        <v/>
      </c>
      <c r="Q44" s="34" t="str" cm="1">
        <f t="array" ref="Q44">IF($A44="","",IF($J44="No","",GetMatchingValue($XFD$9,"Original","Control Number",Q$2,$A44)))</f>
        <v/>
      </c>
      <c r="R44" s="34" t="str" cm="1">
        <f t="array" ref="R44">IF($A44="","",IF($J44="No","",GetMatchingValue($XFD$9,"Original","Control Number",R$2,$A44)))</f>
        <v/>
      </c>
      <c r="S44" s="34" t="str" cm="1">
        <f t="array" ref="S44">IF($A44="","",IF($J44="No","",GetMatchingValue($XFD$9,"Original","Control Number",S$2,$A44)))</f>
        <v/>
      </c>
      <c r="T44" s="34" t="str" cm="1">
        <f t="array" ref="T44">IF($A44="","",IF($J44="No","",GetMatchingValue($XFD$9,"Original","Control Number",T$2,$A44)))</f>
        <v/>
      </c>
      <c r="U44" s="34" t="str" cm="1">
        <f t="array" ref="U44">IF($A44="","",IF($J44="No","",GetMatchingValue($XFD$9,"Original","Control Number",U$2,$A44)))</f>
        <v/>
      </c>
      <c r="V44" s="14"/>
      <c r="W44" s="17"/>
      <c r="X44" s="17"/>
      <c r="Y44" s="17"/>
      <c r="Z44" s="13"/>
      <c r="AA44" s="13"/>
      <c r="AB44" s="13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3"/>
    </row>
    <row r="45" spans="1:45" ht="36" customHeight="1" x14ac:dyDescent="0.2">
      <c r="A45" s="13"/>
      <c r="B45" s="14"/>
      <c r="C45" s="15"/>
      <c r="D45" s="15"/>
      <c r="E45" s="13"/>
      <c r="F45" s="34" t="str" cm="1">
        <f t="array" ref="F45">IF($A45="","",GetMatchingValue($XFD$8,"Original","Control Number",F$2,$A45))</f>
        <v/>
      </c>
      <c r="G45" s="34" t="str" cm="1">
        <f t="array" ref="G45">IF($A45="","",GetMatchingValue($XFD$8,"Original","Control Number",G$2,$A45))</f>
        <v/>
      </c>
      <c r="H45" s="34" t="str" cm="1">
        <f t="array" ref="H45">IF($A45="","",GetMatchingValue($XFD$8,"Original","Control Number",H$2,$A45))</f>
        <v/>
      </c>
      <c r="I45" s="13"/>
      <c r="J45" s="13" t="str" cm="1">
        <f t="array" ref="J45">IF($A45="","",CheckControlNumberExists($XFD$9, "Original", $A45))</f>
        <v/>
      </c>
      <c r="K45" s="34" t="str" cm="1">
        <f t="array" ref="K45">IF($A45="","",IF($J45="No","",GetMatchingValue($XFD$9,"Original","Control Number",K$2,$A45)))</f>
        <v/>
      </c>
      <c r="L45" s="34" t="str" cm="1">
        <f t="array" ref="L45">IF($A45="","",IF($J45="No","",GetMatchingValue($XFD$9,"Original","Control Number",L$2,$A45)))</f>
        <v/>
      </c>
      <c r="M45" s="13" t="str">
        <f t="shared" ca="1" si="2"/>
        <v/>
      </c>
      <c r="N45" s="16"/>
      <c r="O45" s="34" t="str" cm="1">
        <f t="array" ref="O45">IF($A45="","",IF($J45="No","",GetMatchingValue($XFD$9,"Original","Control Number",O$2,$A45)))</f>
        <v/>
      </c>
      <c r="P45" s="34" t="str" cm="1">
        <f t="array" ref="P45">IF($A45="","",IF($J45="No","",GetMatchingValue($XFD$9,"Original","Control Number",P$2,$A45)))</f>
        <v/>
      </c>
      <c r="Q45" s="34" t="str" cm="1">
        <f t="array" ref="Q45">IF($A45="","",IF($J45="No","",GetMatchingValue($XFD$9,"Original","Control Number",Q$2,$A45)))</f>
        <v/>
      </c>
      <c r="R45" s="34" t="str" cm="1">
        <f t="array" ref="R45">IF($A45="","",IF($J45="No","",GetMatchingValue($XFD$9,"Original","Control Number",R$2,$A45)))</f>
        <v/>
      </c>
      <c r="S45" s="34" t="str" cm="1">
        <f t="array" ref="S45">IF($A45="","",IF($J45="No","",GetMatchingValue($XFD$9,"Original","Control Number",S$2,$A45)))</f>
        <v/>
      </c>
      <c r="T45" s="34" t="str" cm="1">
        <f t="array" ref="T45">IF($A45="","",IF($J45="No","",GetMatchingValue($XFD$9,"Original","Control Number",T$2,$A45)))</f>
        <v/>
      </c>
      <c r="U45" s="34" t="str" cm="1">
        <f t="array" ref="U45">IF($A45="","",IF($J45="No","",GetMatchingValue($XFD$9,"Original","Control Number",U$2,$A45)))</f>
        <v/>
      </c>
      <c r="V45" s="14"/>
      <c r="W45" s="17"/>
      <c r="X45" s="17"/>
      <c r="Y45" s="17"/>
      <c r="Z45" s="13"/>
      <c r="AA45" s="13"/>
      <c r="AB45" s="13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3"/>
    </row>
    <row r="46" spans="1:45" ht="36" customHeight="1" x14ac:dyDescent="0.2">
      <c r="A46" s="13"/>
      <c r="B46" s="14"/>
      <c r="C46" s="15"/>
      <c r="D46" s="15"/>
      <c r="E46" s="13"/>
      <c r="F46" s="34" t="str" cm="1">
        <f t="array" ref="F46">IF($A46="","",GetMatchingValue($XFD$8,"Original","Control Number",F$2,$A46))</f>
        <v/>
      </c>
      <c r="G46" s="34" t="str" cm="1">
        <f t="array" ref="G46">IF($A46="","",GetMatchingValue($XFD$8,"Original","Control Number",G$2,$A46))</f>
        <v/>
      </c>
      <c r="H46" s="34" t="str" cm="1">
        <f t="array" ref="H46">IF($A46="","",GetMatchingValue($XFD$8,"Original","Control Number",H$2,$A46))</f>
        <v/>
      </c>
      <c r="I46" s="13"/>
      <c r="J46" s="13" t="str" cm="1">
        <f t="array" ref="J46">IF($A46="","",CheckControlNumberExists($XFD$9, "Original", $A46))</f>
        <v/>
      </c>
      <c r="K46" s="34" t="str" cm="1">
        <f t="array" ref="K46">IF($A46="","",IF($J46="No","",GetMatchingValue($XFD$9,"Original","Control Number",K$2,$A46)))</f>
        <v/>
      </c>
      <c r="L46" s="34" t="str" cm="1">
        <f t="array" ref="L46">IF($A46="","",IF($J46="No","",GetMatchingValue($XFD$9,"Original","Control Number",L$2,$A46)))</f>
        <v/>
      </c>
      <c r="M46" s="13" t="str">
        <f t="shared" ca="1" si="2"/>
        <v/>
      </c>
      <c r="N46" s="16"/>
      <c r="O46" s="34" t="str" cm="1">
        <f t="array" ref="O46">IF($A46="","",IF($J46="No","",GetMatchingValue($XFD$9,"Original","Control Number",O$2,$A46)))</f>
        <v/>
      </c>
      <c r="P46" s="34" t="str" cm="1">
        <f t="array" ref="P46">IF($A46="","",IF($J46="No","",GetMatchingValue($XFD$9,"Original","Control Number",P$2,$A46)))</f>
        <v/>
      </c>
      <c r="Q46" s="34" t="str" cm="1">
        <f t="array" ref="Q46">IF($A46="","",IF($J46="No","",GetMatchingValue($XFD$9,"Original","Control Number",Q$2,$A46)))</f>
        <v/>
      </c>
      <c r="R46" s="34" t="str" cm="1">
        <f t="array" ref="R46">IF($A46="","",IF($J46="No","",GetMatchingValue($XFD$9,"Original","Control Number",R$2,$A46)))</f>
        <v/>
      </c>
      <c r="S46" s="34" t="str" cm="1">
        <f t="array" ref="S46">IF($A46="","",IF($J46="No","",GetMatchingValue($XFD$9,"Original","Control Number",S$2,$A46)))</f>
        <v/>
      </c>
      <c r="T46" s="34" t="str" cm="1">
        <f t="array" ref="T46">IF($A46="","",IF($J46="No","",GetMatchingValue($XFD$9,"Original","Control Number",T$2,$A46)))</f>
        <v/>
      </c>
      <c r="U46" s="34" t="str" cm="1">
        <f t="array" ref="U46">IF($A46="","",IF($J46="No","",GetMatchingValue($XFD$9,"Original","Control Number",U$2,$A46)))</f>
        <v/>
      </c>
      <c r="V46" s="14"/>
      <c r="W46" s="17"/>
      <c r="X46" s="17"/>
      <c r="Y46" s="17"/>
      <c r="Z46" s="13"/>
      <c r="AA46" s="13"/>
      <c r="AB46" s="13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3"/>
    </row>
    <row r="47" spans="1:45" ht="36" customHeight="1" x14ac:dyDescent="0.2">
      <c r="A47" s="13"/>
      <c r="B47" s="14"/>
      <c r="C47" s="15"/>
      <c r="D47" s="15"/>
      <c r="E47" s="13"/>
      <c r="F47" s="34" t="str" cm="1">
        <f t="array" ref="F47">IF($A47="","",GetMatchingValue($XFD$8,"Original","Control Number",F$2,$A47))</f>
        <v/>
      </c>
      <c r="G47" s="34" t="str" cm="1">
        <f t="array" ref="G47">IF($A47="","",GetMatchingValue($XFD$8,"Original","Control Number",G$2,$A47))</f>
        <v/>
      </c>
      <c r="H47" s="34" t="str" cm="1">
        <f t="array" ref="H47">IF($A47="","",GetMatchingValue($XFD$8,"Original","Control Number",H$2,$A47))</f>
        <v/>
      </c>
      <c r="I47" s="13"/>
      <c r="J47" s="13" t="str" cm="1">
        <f t="array" ref="J47">IF($A47="","",CheckControlNumberExists($XFD$9, "Original", $A47))</f>
        <v/>
      </c>
      <c r="K47" s="34" t="str" cm="1">
        <f t="array" ref="K47">IF($A47="","",IF($J47="No","",GetMatchingValue($XFD$9,"Original","Control Number",K$2,$A47)))</f>
        <v/>
      </c>
      <c r="L47" s="34" t="str" cm="1">
        <f t="array" ref="L47">IF($A47="","",IF($J47="No","",GetMatchingValue($XFD$9,"Original","Control Number",L$2,$A47)))</f>
        <v/>
      </c>
      <c r="M47" s="13" t="str">
        <f t="shared" ca="1" si="2"/>
        <v/>
      </c>
      <c r="N47" s="16"/>
      <c r="O47" s="34" t="str" cm="1">
        <f t="array" ref="O47">IF($A47="","",IF($J47="No","",GetMatchingValue($XFD$9,"Original","Control Number",O$2,$A47)))</f>
        <v/>
      </c>
      <c r="P47" s="34" t="str" cm="1">
        <f t="array" ref="P47">IF($A47="","",IF($J47="No","",GetMatchingValue($XFD$9,"Original","Control Number",P$2,$A47)))</f>
        <v/>
      </c>
      <c r="Q47" s="34" t="str" cm="1">
        <f t="array" ref="Q47">IF($A47="","",IF($J47="No","",GetMatchingValue($XFD$9,"Original","Control Number",Q$2,$A47)))</f>
        <v/>
      </c>
      <c r="R47" s="34" t="str" cm="1">
        <f t="array" ref="R47">IF($A47="","",IF($J47="No","",GetMatchingValue($XFD$9,"Original","Control Number",R$2,$A47)))</f>
        <v/>
      </c>
      <c r="S47" s="34" t="str" cm="1">
        <f t="array" ref="S47">IF($A47="","",IF($J47="No","",GetMatchingValue($XFD$9,"Original","Control Number",S$2,$A47)))</f>
        <v/>
      </c>
      <c r="T47" s="34" t="str" cm="1">
        <f t="array" ref="T47">IF($A47="","",IF($J47="No","",GetMatchingValue($XFD$9,"Original","Control Number",T$2,$A47)))</f>
        <v/>
      </c>
      <c r="U47" s="34" t="str" cm="1">
        <f t="array" ref="U47">IF($A47="","",IF($J47="No","",GetMatchingValue($XFD$9,"Original","Control Number",U$2,$A47)))</f>
        <v/>
      </c>
      <c r="V47" s="14"/>
      <c r="W47" s="17"/>
      <c r="X47" s="17"/>
      <c r="Y47" s="17"/>
      <c r="Z47" s="13"/>
      <c r="AA47" s="13"/>
      <c r="AB47" s="13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3"/>
    </row>
    <row r="48" spans="1:45" ht="36" customHeight="1" x14ac:dyDescent="0.2">
      <c r="A48" s="13"/>
      <c r="B48" s="14"/>
      <c r="C48" s="15"/>
      <c r="D48" s="15"/>
      <c r="E48" s="13"/>
      <c r="F48" s="34" t="str" cm="1">
        <f t="array" ref="F48">IF($A48="","",GetMatchingValue($XFD$8,"Original","Control Number",F$2,$A48))</f>
        <v/>
      </c>
      <c r="G48" s="34" t="str" cm="1">
        <f t="array" ref="G48">IF($A48="","",GetMatchingValue($XFD$8,"Original","Control Number",G$2,$A48))</f>
        <v/>
      </c>
      <c r="H48" s="34" t="str" cm="1">
        <f t="array" ref="H48">IF($A48="","",GetMatchingValue($XFD$8,"Original","Control Number",H$2,$A48))</f>
        <v/>
      </c>
      <c r="I48" s="13"/>
      <c r="J48" s="13" t="str" cm="1">
        <f t="array" ref="J48">IF($A48="","",CheckControlNumberExists($XFD$9, "Original", $A48))</f>
        <v/>
      </c>
      <c r="K48" s="34" t="str" cm="1">
        <f t="array" ref="K48">IF($A48="","",IF($J48="No","",GetMatchingValue($XFD$9,"Original","Control Number",K$2,$A48)))</f>
        <v/>
      </c>
      <c r="L48" s="34" t="str" cm="1">
        <f t="array" ref="L48">IF($A48="","",IF($J48="No","",GetMatchingValue($XFD$9,"Original","Control Number",L$2,$A48)))</f>
        <v/>
      </c>
      <c r="M48" s="13" t="str">
        <f t="shared" ca="1" si="2"/>
        <v/>
      </c>
      <c r="N48" s="16"/>
      <c r="O48" s="34" t="str" cm="1">
        <f t="array" ref="O48">IF($A48="","",IF($J48="No","",GetMatchingValue($XFD$9,"Original","Control Number",O$2,$A48)))</f>
        <v/>
      </c>
      <c r="P48" s="34" t="str" cm="1">
        <f t="array" ref="P48">IF($A48="","",IF($J48="No","",GetMatchingValue($XFD$9,"Original","Control Number",P$2,$A48)))</f>
        <v/>
      </c>
      <c r="Q48" s="34" t="str" cm="1">
        <f t="array" ref="Q48">IF($A48="","",IF($J48="No","",GetMatchingValue($XFD$9,"Original","Control Number",Q$2,$A48)))</f>
        <v/>
      </c>
      <c r="R48" s="34" t="str" cm="1">
        <f t="array" ref="R48">IF($A48="","",IF($J48="No","",GetMatchingValue($XFD$9,"Original","Control Number",R$2,$A48)))</f>
        <v/>
      </c>
      <c r="S48" s="34" t="str" cm="1">
        <f t="array" ref="S48">IF($A48="","",IF($J48="No","",GetMatchingValue($XFD$9,"Original","Control Number",S$2,$A48)))</f>
        <v/>
      </c>
      <c r="T48" s="34" t="str" cm="1">
        <f t="array" ref="T48">IF($A48="","",IF($J48="No","",GetMatchingValue($XFD$9,"Original","Control Number",T$2,$A48)))</f>
        <v/>
      </c>
      <c r="U48" s="34" t="str" cm="1">
        <f t="array" ref="U48">IF($A48="","",IF($J48="No","",GetMatchingValue($XFD$9,"Original","Control Number",U$2,$A48)))</f>
        <v/>
      </c>
      <c r="V48" s="14"/>
      <c r="W48" s="17"/>
      <c r="X48" s="17"/>
      <c r="Y48" s="17"/>
      <c r="Z48" s="13"/>
      <c r="AA48" s="13"/>
      <c r="AB48" s="13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3"/>
    </row>
    <row r="49" spans="1:45" ht="36" customHeight="1" x14ac:dyDescent="0.2">
      <c r="A49" s="13"/>
      <c r="B49" s="14"/>
      <c r="C49" s="15"/>
      <c r="D49" s="15"/>
      <c r="E49" s="13"/>
      <c r="F49" s="34" t="str" cm="1">
        <f t="array" ref="F49">IF($A49="","",GetMatchingValue($XFD$8,"Original","Control Number",F$2,$A49))</f>
        <v/>
      </c>
      <c r="G49" s="34" t="str" cm="1">
        <f t="array" ref="G49">IF($A49="","",GetMatchingValue($XFD$8,"Original","Control Number",G$2,$A49))</f>
        <v/>
      </c>
      <c r="H49" s="34" t="str" cm="1">
        <f t="array" ref="H49">IF($A49="","",GetMatchingValue($XFD$8,"Original","Control Number",H$2,$A49))</f>
        <v/>
      </c>
      <c r="I49" s="13"/>
      <c r="J49" s="13" t="str" cm="1">
        <f t="array" ref="J49">IF($A49="","",CheckControlNumberExists($XFD$9, "Original", $A49))</f>
        <v/>
      </c>
      <c r="K49" s="34" t="str" cm="1">
        <f t="array" ref="K49">IF($A49="","",IF($J49="No","",GetMatchingValue($XFD$9,"Original","Control Number",K$2,$A49)))</f>
        <v/>
      </c>
      <c r="L49" s="34" t="str" cm="1">
        <f t="array" ref="L49">IF($A49="","",IF($J49="No","",GetMatchingValue($XFD$9,"Original","Control Number",L$2,$A49)))</f>
        <v/>
      </c>
      <c r="M49" s="13" t="str">
        <f t="shared" ca="1" si="2"/>
        <v/>
      </c>
      <c r="N49" s="16"/>
      <c r="O49" s="34" t="str" cm="1">
        <f t="array" ref="O49">IF($A49="","",IF($J49="No","",GetMatchingValue($XFD$9,"Original","Control Number",O$2,$A49)))</f>
        <v/>
      </c>
      <c r="P49" s="34" t="str" cm="1">
        <f t="array" ref="P49">IF($A49="","",IF($J49="No","",GetMatchingValue($XFD$9,"Original","Control Number",P$2,$A49)))</f>
        <v/>
      </c>
      <c r="Q49" s="34" t="str" cm="1">
        <f t="array" ref="Q49">IF($A49="","",IF($J49="No","",GetMatchingValue($XFD$9,"Original","Control Number",Q$2,$A49)))</f>
        <v/>
      </c>
      <c r="R49" s="34" t="str" cm="1">
        <f t="array" ref="R49">IF($A49="","",IF($J49="No","",GetMatchingValue($XFD$9,"Original","Control Number",R$2,$A49)))</f>
        <v/>
      </c>
      <c r="S49" s="34" t="str" cm="1">
        <f t="array" ref="S49">IF($A49="","",IF($J49="No","",GetMatchingValue($XFD$9,"Original","Control Number",S$2,$A49)))</f>
        <v/>
      </c>
      <c r="T49" s="34" t="str" cm="1">
        <f t="array" ref="T49">IF($A49="","",IF($J49="No","",GetMatchingValue($XFD$9,"Original","Control Number",T$2,$A49)))</f>
        <v/>
      </c>
      <c r="U49" s="34" t="str" cm="1">
        <f t="array" ref="U49">IF($A49="","",IF($J49="No","",GetMatchingValue($XFD$9,"Original","Control Number",U$2,$A49)))</f>
        <v/>
      </c>
      <c r="V49" s="14"/>
      <c r="W49" s="17"/>
      <c r="X49" s="17"/>
      <c r="Y49" s="17"/>
      <c r="Z49" s="13"/>
      <c r="AA49" s="13"/>
      <c r="AB49" s="13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3"/>
    </row>
    <row r="50" spans="1:45" ht="36" customHeight="1" x14ac:dyDescent="0.2">
      <c r="A50" s="13"/>
      <c r="B50" s="14"/>
      <c r="C50" s="15"/>
      <c r="D50" s="15"/>
      <c r="E50" s="13"/>
      <c r="F50" s="34" t="str" cm="1">
        <f t="array" ref="F50">IF($A50="","",GetMatchingValue($XFD$8,"Original","Control Number",F$2,$A50))</f>
        <v/>
      </c>
      <c r="G50" s="34" t="str" cm="1">
        <f t="array" ref="G50">IF($A50="","",GetMatchingValue($XFD$8,"Original","Control Number",G$2,$A50))</f>
        <v/>
      </c>
      <c r="H50" s="34" t="str" cm="1">
        <f t="array" ref="H50">IF($A50="","",GetMatchingValue($XFD$8,"Original","Control Number",H$2,$A50))</f>
        <v/>
      </c>
      <c r="I50" s="13"/>
      <c r="J50" s="13" t="str" cm="1">
        <f t="array" ref="J50">IF($A50="","",CheckControlNumberExists($XFD$9, "Original", $A50))</f>
        <v/>
      </c>
      <c r="K50" s="34" t="str" cm="1">
        <f t="array" ref="K50">IF($A50="","",IF($J50="No","",GetMatchingValue($XFD$9,"Original","Control Number",K$2,$A50)))</f>
        <v/>
      </c>
      <c r="L50" s="34" t="str" cm="1">
        <f t="array" ref="L50">IF($A50="","",IF($J50="No","",GetMatchingValue($XFD$9,"Original","Control Number",L$2,$A50)))</f>
        <v/>
      </c>
      <c r="M50" s="13" t="str">
        <f t="shared" ca="1" si="2"/>
        <v/>
      </c>
      <c r="N50" s="16"/>
      <c r="O50" s="34" t="str" cm="1">
        <f t="array" ref="O50">IF($A50="","",IF($J50="No","",GetMatchingValue($XFD$9,"Original","Control Number",O$2,$A50)))</f>
        <v/>
      </c>
      <c r="P50" s="34" t="str" cm="1">
        <f t="array" ref="P50">IF($A50="","",IF($J50="No","",GetMatchingValue($XFD$9,"Original","Control Number",P$2,$A50)))</f>
        <v/>
      </c>
      <c r="Q50" s="34" t="str" cm="1">
        <f t="array" ref="Q50">IF($A50="","",IF($J50="No","",GetMatchingValue($XFD$9,"Original","Control Number",Q$2,$A50)))</f>
        <v/>
      </c>
      <c r="R50" s="34" t="str" cm="1">
        <f t="array" ref="R50">IF($A50="","",IF($J50="No","",GetMatchingValue($XFD$9,"Original","Control Number",R$2,$A50)))</f>
        <v/>
      </c>
      <c r="S50" s="34" t="str" cm="1">
        <f t="array" ref="S50">IF($A50="","",IF($J50="No","",GetMatchingValue($XFD$9,"Original","Control Number",S$2,$A50)))</f>
        <v/>
      </c>
      <c r="T50" s="34" t="str" cm="1">
        <f t="array" ref="T50">IF($A50="","",IF($J50="No","",GetMatchingValue($XFD$9,"Original","Control Number",T$2,$A50)))</f>
        <v/>
      </c>
      <c r="U50" s="34" t="str" cm="1">
        <f t="array" ref="U50">IF($A50="","",IF($J50="No","",GetMatchingValue($XFD$9,"Original","Control Number",U$2,$A50)))</f>
        <v/>
      </c>
      <c r="V50" s="14"/>
      <c r="W50" s="17"/>
      <c r="X50" s="17"/>
      <c r="Y50" s="17"/>
      <c r="Z50" s="13"/>
      <c r="AA50" s="13"/>
      <c r="AB50" s="13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3"/>
    </row>
    <row r="51" spans="1:45" ht="36" customHeight="1" x14ac:dyDescent="0.2">
      <c r="A51" s="13"/>
      <c r="B51" s="14"/>
      <c r="C51" s="15"/>
      <c r="D51" s="15"/>
      <c r="E51" s="13"/>
      <c r="F51" s="34" t="str" cm="1">
        <f t="array" ref="F51">IF($A51="","",GetMatchingValue($XFD$8,"Original","Control Number",F$2,$A51))</f>
        <v/>
      </c>
      <c r="G51" s="34" t="str" cm="1">
        <f t="array" ref="G51">IF($A51="","",GetMatchingValue($XFD$8,"Original","Control Number",G$2,$A51))</f>
        <v/>
      </c>
      <c r="H51" s="34" t="str" cm="1">
        <f t="array" ref="H51">IF($A51="","",GetMatchingValue($XFD$8,"Original","Control Number",H$2,$A51))</f>
        <v/>
      </c>
      <c r="I51" s="13"/>
      <c r="J51" s="13" t="str" cm="1">
        <f t="array" ref="J51">IF($A51="","",CheckControlNumberExists($XFD$9, "Original", $A51))</f>
        <v/>
      </c>
      <c r="K51" s="34" t="str" cm="1">
        <f t="array" ref="K51">IF($A51="","",IF($J51="No","",GetMatchingValue($XFD$9,"Original","Control Number",K$2,$A51)))</f>
        <v/>
      </c>
      <c r="L51" s="34" t="str" cm="1">
        <f t="array" ref="L51">IF($A51="","",IF($J51="No","",GetMatchingValue($XFD$9,"Original","Control Number",L$2,$A51)))</f>
        <v/>
      </c>
      <c r="M51" s="13" t="str">
        <f t="shared" ca="1" si="2"/>
        <v/>
      </c>
      <c r="N51" s="16"/>
      <c r="O51" s="34" t="str" cm="1">
        <f t="array" ref="O51">IF($A51="","",IF($J51="No","",GetMatchingValue($XFD$9,"Original","Control Number",O$2,$A51)))</f>
        <v/>
      </c>
      <c r="P51" s="34" t="str" cm="1">
        <f t="array" ref="P51">IF($A51="","",IF($J51="No","",GetMatchingValue($XFD$9,"Original","Control Number",P$2,$A51)))</f>
        <v/>
      </c>
      <c r="Q51" s="34" t="str" cm="1">
        <f t="array" ref="Q51">IF($A51="","",IF($J51="No","",GetMatchingValue($XFD$9,"Original","Control Number",Q$2,$A51)))</f>
        <v/>
      </c>
      <c r="R51" s="34" t="str" cm="1">
        <f t="array" ref="R51">IF($A51="","",IF($J51="No","",GetMatchingValue($XFD$9,"Original","Control Number",R$2,$A51)))</f>
        <v/>
      </c>
      <c r="S51" s="34" t="str" cm="1">
        <f t="array" ref="S51">IF($A51="","",IF($J51="No","",GetMatchingValue($XFD$9,"Original","Control Number",S$2,$A51)))</f>
        <v/>
      </c>
      <c r="T51" s="34" t="str" cm="1">
        <f t="array" ref="T51">IF($A51="","",IF($J51="No","",GetMatchingValue($XFD$9,"Original","Control Number",T$2,$A51)))</f>
        <v/>
      </c>
      <c r="U51" s="34" t="str" cm="1">
        <f t="array" ref="U51">IF($A51="","",IF($J51="No","",GetMatchingValue($XFD$9,"Original","Control Number",U$2,$A51)))</f>
        <v/>
      </c>
      <c r="V51" s="14"/>
      <c r="W51" s="17"/>
      <c r="X51" s="17"/>
      <c r="Y51" s="17"/>
      <c r="Z51" s="13"/>
      <c r="AA51" s="13"/>
      <c r="AB51" s="13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3"/>
    </row>
    <row r="52" spans="1:45" ht="36" customHeight="1" x14ac:dyDescent="0.2">
      <c r="A52" s="13"/>
      <c r="B52" s="14"/>
      <c r="C52" s="15"/>
      <c r="D52" s="15"/>
      <c r="E52" s="13"/>
      <c r="F52" s="34" t="str" cm="1">
        <f t="array" ref="F52">IF($A52="","",GetMatchingValue($XFD$8,"Original","Control Number",F$2,$A52))</f>
        <v/>
      </c>
      <c r="G52" s="34" t="str" cm="1">
        <f t="array" ref="G52">IF($A52="","",GetMatchingValue($XFD$8,"Original","Control Number",G$2,$A52))</f>
        <v/>
      </c>
      <c r="H52" s="34" t="str" cm="1">
        <f t="array" ref="H52">IF($A52="","",GetMatchingValue($XFD$8,"Original","Control Number",H$2,$A52))</f>
        <v/>
      </c>
      <c r="I52" s="13"/>
      <c r="J52" s="13" t="str" cm="1">
        <f t="array" ref="J52">IF($A52="","",CheckControlNumberExists($XFD$9, "Original", $A52))</f>
        <v/>
      </c>
      <c r="K52" s="34" t="str" cm="1">
        <f t="array" ref="K52">IF($A52="","",IF($J52="No","",GetMatchingValue($XFD$9,"Original","Control Number",K$2,$A52)))</f>
        <v/>
      </c>
      <c r="L52" s="34" t="str" cm="1">
        <f t="array" ref="L52">IF($A52="","",IF($J52="No","",GetMatchingValue($XFD$9,"Original","Control Number",L$2,$A52)))</f>
        <v/>
      </c>
      <c r="M52" s="13" t="str">
        <f t="shared" ca="1" si="2"/>
        <v/>
      </c>
      <c r="N52" s="16"/>
      <c r="O52" s="34" t="str" cm="1">
        <f t="array" ref="O52">IF($A52="","",IF($J52="No","",GetMatchingValue($XFD$9,"Original","Control Number",O$2,$A52)))</f>
        <v/>
      </c>
      <c r="P52" s="34" t="str" cm="1">
        <f t="array" ref="P52">IF($A52="","",IF($J52="No","",GetMatchingValue($XFD$9,"Original","Control Number",P$2,$A52)))</f>
        <v/>
      </c>
      <c r="Q52" s="34" t="str" cm="1">
        <f t="array" ref="Q52">IF($A52="","",IF($J52="No","",GetMatchingValue($XFD$9,"Original","Control Number",Q$2,$A52)))</f>
        <v/>
      </c>
      <c r="R52" s="34" t="str" cm="1">
        <f t="array" ref="R52">IF($A52="","",IF($J52="No","",GetMatchingValue($XFD$9,"Original","Control Number",R$2,$A52)))</f>
        <v/>
      </c>
      <c r="S52" s="34" t="str" cm="1">
        <f t="array" ref="S52">IF($A52="","",IF($J52="No","",GetMatchingValue($XFD$9,"Original","Control Number",S$2,$A52)))</f>
        <v/>
      </c>
      <c r="T52" s="34" t="str" cm="1">
        <f t="array" ref="T52">IF($A52="","",IF($J52="No","",GetMatchingValue($XFD$9,"Original","Control Number",T$2,$A52)))</f>
        <v/>
      </c>
      <c r="U52" s="34" t="str" cm="1">
        <f t="array" ref="U52">IF($A52="","",IF($J52="No","",GetMatchingValue($XFD$9,"Original","Control Number",U$2,$A52)))</f>
        <v/>
      </c>
      <c r="V52" s="14"/>
      <c r="W52" s="17"/>
      <c r="X52" s="17"/>
      <c r="Y52" s="17"/>
      <c r="Z52" s="13"/>
      <c r="AA52" s="13"/>
      <c r="AB52" s="13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3"/>
    </row>
    <row r="53" spans="1:45" ht="36" customHeight="1" x14ac:dyDescent="0.2">
      <c r="A53" s="14"/>
      <c r="B53" s="14"/>
      <c r="C53" s="15"/>
      <c r="D53" s="15"/>
      <c r="E53" s="13"/>
      <c r="F53" s="34" t="str" cm="1">
        <f t="array" ref="F53">IF($A53="","",GetMatchingValue($XFD$8,"Original","Control Number",F$2,$A53))</f>
        <v/>
      </c>
      <c r="G53" s="34" t="str" cm="1">
        <f t="array" ref="G53">IF($A53="","",GetMatchingValue($XFD$8,"Original","Control Number",G$2,$A53))</f>
        <v/>
      </c>
      <c r="H53" s="34" t="str" cm="1">
        <f t="array" ref="H53">IF($A53="","",GetMatchingValue($XFD$8,"Original","Control Number",H$2,$A53))</f>
        <v/>
      </c>
      <c r="I53" s="13"/>
      <c r="J53" s="13" t="str" cm="1">
        <f t="array" ref="J53">IF($A53="","",CheckControlNumberExists($XFD$9, "Original", $A53))</f>
        <v/>
      </c>
      <c r="K53" s="34" t="str" cm="1">
        <f t="array" ref="K53">IF($A53="","",IF($J53="No","",GetMatchingValue($XFD$9,"Original","Control Number",K$2,$A53)))</f>
        <v/>
      </c>
      <c r="L53" s="34" t="str" cm="1">
        <f t="array" ref="L53">IF($A53="","",IF($J53="No","",GetMatchingValue($XFD$9,"Original","Control Number",L$2,$A53)))</f>
        <v/>
      </c>
      <c r="M53" s="13" t="str">
        <f t="shared" ca="1" si="2"/>
        <v/>
      </c>
      <c r="N53" s="16"/>
      <c r="O53" s="34" t="str" cm="1">
        <f t="array" ref="O53">IF($A53="","",IF($J53="No","",GetMatchingValue($XFD$9,"Original","Control Number",O$2,$A53)))</f>
        <v/>
      </c>
      <c r="P53" s="34" t="str" cm="1">
        <f t="array" ref="P53">IF($A53="","",IF($J53="No","",GetMatchingValue($XFD$9,"Original","Control Number",P$2,$A53)))</f>
        <v/>
      </c>
      <c r="Q53" s="34" t="str" cm="1">
        <f t="array" ref="Q53">IF($A53="","",IF($J53="No","",GetMatchingValue($XFD$9,"Original","Control Number",Q$2,$A53)))</f>
        <v/>
      </c>
      <c r="R53" s="34" t="str" cm="1">
        <f t="array" ref="R53">IF($A53="","",IF($J53="No","",GetMatchingValue($XFD$9,"Original","Control Number",R$2,$A53)))</f>
        <v/>
      </c>
      <c r="S53" s="34" t="str" cm="1">
        <f t="array" ref="S53">IF($A53="","",IF($J53="No","",GetMatchingValue($XFD$9,"Original","Control Number",S$2,$A53)))</f>
        <v/>
      </c>
      <c r="T53" s="34" t="str" cm="1">
        <f t="array" ref="T53">IF($A53="","",IF($J53="No","",GetMatchingValue($XFD$9,"Original","Control Number",T$2,$A53)))</f>
        <v/>
      </c>
      <c r="U53" s="34" t="str" cm="1">
        <f t="array" ref="U53">IF($A53="","",IF($J53="No","",GetMatchingValue($XFD$9,"Original","Control Number",U$2,$A53)))</f>
        <v/>
      </c>
      <c r="V53" s="14"/>
      <c r="W53" s="17"/>
      <c r="X53" s="17"/>
      <c r="Y53" s="17"/>
      <c r="Z53" s="13"/>
      <c r="AA53" s="13"/>
      <c r="AB53" s="13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3"/>
    </row>
    <row r="54" spans="1:45" ht="36" customHeight="1" x14ac:dyDescent="0.2">
      <c r="A54" s="13"/>
      <c r="B54" s="14"/>
      <c r="C54" s="15"/>
      <c r="D54" s="15"/>
      <c r="E54" s="13"/>
      <c r="F54" s="34" t="str" cm="1">
        <f t="array" ref="F54">IF($A54="","",GetMatchingValue($XFD$8,"Original","Control Number",F$2,$A54))</f>
        <v/>
      </c>
      <c r="G54" s="34" t="str" cm="1">
        <f t="array" ref="G54">IF($A54="","",GetMatchingValue($XFD$8,"Original","Control Number",G$2,$A54))</f>
        <v/>
      </c>
      <c r="H54" s="34" t="str" cm="1">
        <f t="array" ref="H54">IF($A54="","",GetMatchingValue($XFD$8,"Original","Control Number",H$2,$A54))</f>
        <v/>
      </c>
      <c r="I54" s="13"/>
      <c r="J54" s="13" t="str" cm="1">
        <f t="array" ref="J54">IF($A54="","",CheckControlNumberExists($XFD$9, "Original", $A54))</f>
        <v/>
      </c>
      <c r="K54" s="34" t="str" cm="1">
        <f t="array" ref="K54">IF($A54="","",IF($J54="No","",GetMatchingValue($XFD$9,"Original","Control Number",K$2,$A54)))</f>
        <v/>
      </c>
      <c r="L54" s="34" t="str" cm="1">
        <f t="array" ref="L54">IF($A54="","",IF($J54="No","",GetMatchingValue($XFD$9,"Original","Control Number",L$2,$A54)))</f>
        <v/>
      </c>
      <c r="M54" s="13" t="str">
        <f t="shared" ca="1" si="2"/>
        <v/>
      </c>
      <c r="N54" s="16"/>
      <c r="O54" s="34" t="str" cm="1">
        <f t="array" ref="O54">IF($A54="","",IF($J54="No","",GetMatchingValue($XFD$9,"Original","Control Number",O$2,$A54)))</f>
        <v/>
      </c>
      <c r="P54" s="34" t="str" cm="1">
        <f t="array" ref="P54">IF($A54="","",IF($J54="No","",GetMatchingValue($XFD$9,"Original","Control Number",P$2,$A54)))</f>
        <v/>
      </c>
      <c r="Q54" s="34" t="str" cm="1">
        <f t="array" ref="Q54">IF($A54="","",IF($J54="No","",GetMatchingValue($XFD$9,"Original","Control Number",Q$2,$A54)))</f>
        <v/>
      </c>
      <c r="R54" s="34" t="str" cm="1">
        <f t="array" ref="R54">IF($A54="","",IF($J54="No","",GetMatchingValue($XFD$9,"Original","Control Number",R$2,$A54)))</f>
        <v/>
      </c>
      <c r="S54" s="34" t="str" cm="1">
        <f t="array" ref="S54">IF($A54="","",IF($J54="No","",GetMatchingValue($XFD$9,"Original","Control Number",S$2,$A54)))</f>
        <v/>
      </c>
      <c r="T54" s="34" t="str" cm="1">
        <f t="array" ref="T54">IF($A54="","",IF($J54="No","",GetMatchingValue($XFD$9,"Original","Control Number",T$2,$A54)))</f>
        <v/>
      </c>
      <c r="U54" s="34" t="str" cm="1">
        <f t="array" ref="U54">IF($A54="","",IF($J54="No","",GetMatchingValue($XFD$9,"Original","Control Number",U$2,$A54)))</f>
        <v/>
      </c>
      <c r="V54" s="14"/>
      <c r="W54" s="17"/>
      <c r="X54" s="17"/>
      <c r="Y54" s="17"/>
      <c r="Z54" s="13"/>
      <c r="AA54" s="13"/>
      <c r="AB54" s="13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3"/>
    </row>
    <row r="55" spans="1:45" ht="36" customHeight="1" x14ac:dyDescent="0.2">
      <c r="A55" s="13"/>
      <c r="B55" s="14"/>
      <c r="C55" s="15"/>
      <c r="D55" s="15"/>
      <c r="E55" s="13"/>
      <c r="F55" s="34" t="str" cm="1">
        <f t="array" ref="F55">IF($A55="","",GetMatchingValue($XFD$8,"Original","Control Number",F$2,$A55))</f>
        <v/>
      </c>
      <c r="G55" s="34" t="str" cm="1">
        <f t="array" ref="G55">IF($A55="","",GetMatchingValue($XFD$8,"Original","Control Number",G$2,$A55))</f>
        <v/>
      </c>
      <c r="H55" s="34" t="str" cm="1">
        <f t="array" ref="H55">IF($A55="","",GetMatchingValue($XFD$8,"Original","Control Number",H$2,$A55))</f>
        <v/>
      </c>
      <c r="I55" s="13"/>
      <c r="J55" s="13" t="str" cm="1">
        <f t="array" ref="J55">IF($A55="","",CheckControlNumberExists($XFD$9, "Original", $A55))</f>
        <v/>
      </c>
      <c r="K55" s="34" t="str" cm="1">
        <f t="array" ref="K55">IF($A55="","",IF($J55="No","",GetMatchingValue($XFD$9,"Original","Control Number",K$2,$A55)))</f>
        <v/>
      </c>
      <c r="L55" s="34" t="str" cm="1">
        <f t="array" ref="L55">IF($A55="","",IF($J55="No","",GetMatchingValue($XFD$9,"Original","Control Number",L$2,$A55)))</f>
        <v/>
      </c>
      <c r="M55" s="13" t="str">
        <f t="shared" ca="1" si="2"/>
        <v/>
      </c>
      <c r="N55" s="16"/>
      <c r="O55" s="34" t="str" cm="1">
        <f t="array" ref="O55">IF($A55="","",IF($J55="No","",GetMatchingValue($XFD$9,"Original","Control Number",O$2,$A55)))</f>
        <v/>
      </c>
      <c r="P55" s="34" t="str" cm="1">
        <f t="array" ref="P55">IF($A55="","",IF($J55="No","",GetMatchingValue($XFD$9,"Original","Control Number",P$2,$A55)))</f>
        <v/>
      </c>
      <c r="Q55" s="34" t="str" cm="1">
        <f t="array" ref="Q55">IF($A55="","",IF($J55="No","",GetMatchingValue($XFD$9,"Original","Control Number",Q$2,$A55)))</f>
        <v/>
      </c>
      <c r="R55" s="34" t="str" cm="1">
        <f t="array" ref="R55">IF($A55="","",IF($J55="No","",GetMatchingValue($XFD$9,"Original","Control Number",R$2,$A55)))</f>
        <v/>
      </c>
      <c r="S55" s="34" t="str" cm="1">
        <f t="array" ref="S55">IF($A55="","",IF($J55="No","",GetMatchingValue($XFD$9,"Original","Control Number",S$2,$A55)))</f>
        <v/>
      </c>
      <c r="T55" s="34" t="str" cm="1">
        <f t="array" ref="T55">IF($A55="","",IF($J55="No","",GetMatchingValue($XFD$9,"Original","Control Number",T$2,$A55)))</f>
        <v/>
      </c>
      <c r="U55" s="34" t="str" cm="1">
        <f t="array" ref="U55">IF($A55="","",IF($J55="No","",GetMatchingValue($XFD$9,"Original","Control Number",U$2,$A55)))</f>
        <v/>
      </c>
      <c r="V55" s="14"/>
      <c r="W55" s="17"/>
      <c r="X55" s="17"/>
      <c r="Y55" s="17"/>
      <c r="Z55" s="13"/>
      <c r="AA55" s="13"/>
      <c r="AB55" s="13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3"/>
    </row>
    <row r="56" spans="1:45" ht="36" customHeight="1" x14ac:dyDescent="0.2">
      <c r="A56" s="13"/>
      <c r="B56" s="14"/>
      <c r="C56" s="15"/>
      <c r="D56" s="15"/>
      <c r="E56" s="13"/>
      <c r="F56" s="34" t="str" cm="1">
        <f t="array" ref="F56">IF($A56="","",GetMatchingValue($XFD$8,"Original","Control Number",F$2,$A56))</f>
        <v/>
      </c>
      <c r="G56" s="34" t="str" cm="1">
        <f t="array" ref="G56">IF($A56="","",GetMatchingValue($XFD$8,"Original","Control Number",G$2,$A56))</f>
        <v/>
      </c>
      <c r="H56" s="34" t="str" cm="1">
        <f t="array" ref="H56">IF($A56="","",GetMatchingValue($XFD$8,"Original","Control Number",H$2,$A56))</f>
        <v/>
      </c>
      <c r="I56" s="13"/>
      <c r="J56" s="13" t="str" cm="1">
        <f t="array" ref="J56">IF($A56="","",CheckControlNumberExists($XFD$9, "Original", $A56))</f>
        <v/>
      </c>
      <c r="K56" s="34" t="str" cm="1">
        <f t="array" ref="K56">IF($A56="","",IF($J56="No","",GetMatchingValue($XFD$9,"Original","Control Number",K$2,$A56)))</f>
        <v/>
      </c>
      <c r="L56" s="34" t="str" cm="1">
        <f t="array" ref="L56">IF($A56="","",IF($J56="No","",GetMatchingValue($XFD$9,"Original","Control Number",L$2,$A56)))</f>
        <v/>
      </c>
      <c r="M56" s="13" t="str">
        <f t="shared" ca="1" si="2"/>
        <v/>
      </c>
      <c r="N56" s="16"/>
      <c r="O56" s="34" t="str" cm="1">
        <f t="array" ref="O56">IF($A56="","",IF($J56="No","",GetMatchingValue($XFD$9,"Original","Control Number",O$2,$A56)))</f>
        <v/>
      </c>
      <c r="P56" s="34" t="str" cm="1">
        <f t="array" ref="P56">IF($A56="","",IF($J56="No","",GetMatchingValue($XFD$9,"Original","Control Number",P$2,$A56)))</f>
        <v/>
      </c>
      <c r="Q56" s="34" t="str" cm="1">
        <f t="array" ref="Q56">IF($A56="","",IF($J56="No","",GetMatchingValue($XFD$9,"Original","Control Number",Q$2,$A56)))</f>
        <v/>
      </c>
      <c r="R56" s="34" t="str" cm="1">
        <f t="array" ref="R56">IF($A56="","",IF($J56="No","",GetMatchingValue($XFD$9,"Original","Control Number",R$2,$A56)))</f>
        <v/>
      </c>
      <c r="S56" s="34" t="str" cm="1">
        <f t="array" ref="S56">IF($A56="","",IF($J56="No","",GetMatchingValue($XFD$9,"Original","Control Number",S$2,$A56)))</f>
        <v/>
      </c>
      <c r="T56" s="34" t="str" cm="1">
        <f t="array" ref="T56">IF($A56="","",IF($J56="No","",GetMatchingValue($XFD$9,"Original","Control Number",T$2,$A56)))</f>
        <v/>
      </c>
      <c r="U56" s="34" t="str" cm="1">
        <f t="array" ref="U56">IF($A56="","",IF($J56="No","",GetMatchingValue($XFD$9,"Original","Control Number",U$2,$A56)))</f>
        <v/>
      </c>
      <c r="V56" s="14"/>
      <c r="W56" s="17"/>
      <c r="X56" s="17"/>
      <c r="Y56" s="17"/>
      <c r="Z56" s="13"/>
      <c r="AA56" s="13"/>
      <c r="AB56" s="13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3"/>
    </row>
    <row r="57" spans="1:45" ht="36" customHeight="1" x14ac:dyDescent="0.2">
      <c r="A57" s="13"/>
      <c r="B57" s="14"/>
      <c r="C57" s="15"/>
      <c r="D57" s="15"/>
      <c r="E57" s="13"/>
      <c r="F57" s="34" t="str" cm="1">
        <f t="array" ref="F57">IF($A57="","",GetMatchingValue($XFD$8,"Original","Control Number",F$2,$A57))</f>
        <v/>
      </c>
      <c r="G57" s="34" t="str" cm="1">
        <f t="array" ref="G57">IF($A57="","",GetMatchingValue($XFD$8,"Original","Control Number",G$2,$A57))</f>
        <v/>
      </c>
      <c r="H57" s="34" t="str" cm="1">
        <f t="array" ref="H57">IF($A57="","",GetMatchingValue($XFD$8,"Original","Control Number",H$2,$A57))</f>
        <v/>
      </c>
      <c r="I57" s="13"/>
      <c r="J57" s="13" t="str" cm="1">
        <f t="array" ref="J57">IF($A57="","",CheckControlNumberExists($XFD$9, "Original", $A57))</f>
        <v/>
      </c>
      <c r="K57" s="34" t="str" cm="1">
        <f t="array" ref="K57">IF($A57="","",IF($J57="No","",GetMatchingValue($XFD$9,"Original","Control Number",K$2,$A57)))</f>
        <v/>
      </c>
      <c r="L57" s="34" t="str" cm="1">
        <f t="array" ref="L57">IF($A57="","",IF($J57="No","",GetMatchingValue($XFD$9,"Original","Control Number",L$2,$A57)))</f>
        <v/>
      </c>
      <c r="M57" s="13" t="str">
        <f t="shared" ca="1" si="2"/>
        <v/>
      </c>
      <c r="N57" s="16"/>
      <c r="O57" s="34" t="str" cm="1">
        <f t="array" ref="O57">IF($A57="","",IF($J57="No","",GetMatchingValue($XFD$9,"Original","Control Number",O$2,$A57)))</f>
        <v/>
      </c>
      <c r="P57" s="34" t="str" cm="1">
        <f t="array" ref="P57">IF($A57="","",IF($J57="No","",GetMatchingValue($XFD$9,"Original","Control Number",P$2,$A57)))</f>
        <v/>
      </c>
      <c r="Q57" s="34" t="str" cm="1">
        <f t="array" ref="Q57">IF($A57="","",IF($J57="No","",GetMatchingValue($XFD$9,"Original","Control Number",Q$2,$A57)))</f>
        <v/>
      </c>
      <c r="R57" s="34" t="str" cm="1">
        <f t="array" ref="R57">IF($A57="","",IF($J57="No","",GetMatchingValue($XFD$9,"Original","Control Number",R$2,$A57)))</f>
        <v/>
      </c>
      <c r="S57" s="34" t="str" cm="1">
        <f t="array" ref="S57">IF($A57="","",IF($J57="No","",GetMatchingValue($XFD$9,"Original","Control Number",S$2,$A57)))</f>
        <v/>
      </c>
      <c r="T57" s="34" t="str" cm="1">
        <f t="array" ref="T57">IF($A57="","",IF($J57="No","",GetMatchingValue($XFD$9,"Original","Control Number",T$2,$A57)))</f>
        <v/>
      </c>
      <c r="U57" s="34" t="str" cm="1">
        <f t="array" ref="U57">IF($A57="","",IF($J57="No","",GetMatchingValue($XFD$9,"Original","Control Number",U$2,$A57)))</f>
        <v/>
      </c>
      <c r="V57" s="14"/>
      <c r="W57" s="17"/>
      <c r="X57" s="17"/>
      <c r="Y57" s="17"/>
      <c r="Z57" s="13"/>
      <c r="AA57" s="13"/>
      <c r="AB57" s="13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3"/>
    </row>
    <row r="58" spans="1:45" ht="36" customHeight="1" x14ac:dyDescent="0.2">
      <c r="A58" s="18"/>
      <c r="B58" s="14"/>
      <c r="C58" s="15"/>
      <c r="D58" s="15"/>
      <c r="E58" s="13"/>
      <c r="F58" s="34" t="str" cm="1">
        <f t="array" ref="F58">IF($A58="","",GetMatchingValue($XFD$8,"Original","Control Number",F$2,$A58))</f>
        <v/>
      </c>
      <c r="G58" s="34" t="str" cm="1">
        <f t="array" ref="G58">IF($A58="","",GetMatchingValue($XFD$8,"Original","Control Number",G$2,$A58))</f>
        <v/>
      </c>
      <c r="H58" s="34" t="str" cm="1">
        <f t="array" ref="H58">IF($A58="","",GetMatchingValue($XFD$8,"Original","Control Number",H$2,$A58))</f>
        <v/>
      </c>
      <c r="I58" s="13"/>
      <c r="J58" s="13" t="str" cm="1">
        <f t="array" ref="J58">IF($A58="","",CheckControlNumberExists($XFD$9, "Original", $A58))</f>
        <v/>
      </c>
      <c r="K58" s="34" t="str" cm="1">
        <f t="array" ref="K58">IF($A58="","",IF($J58="No","",GetMatchingValue($XFD$9,"Original","Control Number",K$2,$A58)))</f>
        <v/>
      </c>
      <c r="L58" s="34" t="str" cm="1">
        <f t="array" ref="L58">IF($A58="","",IF($J58="No","",GetMatchingValue($XFD$9,"Original","Control Number",L$2,$A58)))</f>
        <v/>
      </c>
      <c r="M58" s="13" t="str">
        <f t="shared" ca="1" si="2"/>
        <v/>
      </c>
      <c r="N58" s="16"/>
      <c r="O58" s="34" t="str" cm="1">
        <f t="array" ref="O58">IF($A58="","",IF($J58="No","",GetMatchingValue($XFD$9,"Original","Control Number",O$2,$A58)))</f>
        <v/>
      </c>
      <c r="P58" s="34" t="str" cm="1">
        <f t="array" ref="P58">IF($A58="","",IF($J58="No","",GetMatchingValue($XFD$9,"Original","Control Number",P$2,$A58)))</f>
        <v/>
      </c>
      <c r="Q58" s="34" t="str" cm="1">
        <f t="array" ref="Q58">IF($A58="","",IF($J58="No","",GetMatchingValue($XFD$9,"Original","Control Number",Q$2,$A58)))</f>
        <v/>
      </c>
      <c r="R58" s="34" t="str" cm="1">
        <f t="array" ref="R58">IF($A58="","",IF($J58="No","",GetMatchingValue($XFD$9,"Original","Control Number",R$2,$A58)))</f>
        <v/>
      </c>
      <c r="S58" s="34" t="str" cm="1">
        <f t="array" ref="S58">IF($A58="","",IF($J58="No","",GetMatchingValue($XFD$9,"Original","Control Number",S$2,$A58)))</f>
        <v/>
      </c>
      <c r="T58" s="34" t="str" cm="1">
        <f t="array" ref="T58">IF($A58="","",IF($J58="No","",GetMatchingValue($XFD$9,"Original","Control Number",T$2,$A58)))</f>
        <v/>
      </c>
      <c r="U58" s="34" t="str" cm="1">
        <f t="array" ref="U58">IF($A58="","",IF($J58="No","",GetMatchingValue($XFD$9,"Original","Control Number",U$2,$A58)))</f>
        <v/>
      </c>
      <c r="V58" s="14"/>
      <c r="W58" s="17"/>
      <c r="X58" s="17"/>
      <c r="Y58" s="17"/>
      <c r="Z58" s="13"/>
      <c r="AA58" s="13"/>
      <c r="AB58" s="13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3"/>
    </row>
    <row r="59" spans="1:45" ht="36" customHeight="1" x14ac:dyDescent="0.2">
      <c r="A59" s="13"/>
      <c r="B59" s="14"/>
      <c r="C59" s="15"/>
      <c r="D59" s="15"/>
      <c r="E59" s="13"/>
      <c r="F59" s="34" t="str" cm="1">
        <f t="array" ref="F59">IF($A59="","",GetMatchingValue($XFD$8,"Original","Control Number",F$2,$A59))</f>
        <v/>
      </c>
      <c r="G59" s="34" t="str" cm="1">
        <f t="array" ref="G59">IF($A59="","",GetMatchingValue($XFD$8,"Original","Control Number",G$2,$A59))</f>
        <v/>
      </c>
      <c r="H59" s="34" t="str" cm="1">
        <f t="array" ref="H59">IF($A59="","",GetMatchingValue($XFD$8,"Original","Control Number",H$2,$A59))</f>
        <v/>
      </c>
      <c r="I59" s="13"/>
      <c r="J59" s="13" t="str" cm="1">
        <f t="array" ref="J59">IF($A59="","",CheckControlNumberExists($XFD$9, "Original", $A59))</f>
        <v/>
      </c>
      <c r="K59" s="34" t="str" cm="1">
        <f t="array" ref="K59">IF($A59="","",IF($J59="No","",GetMatchingValue($XFD$9,"Original","Control Number",K$2,$A59)))</f>
        <v/>
      </c>
      <c r="L59" s="34" t="str" cm="1">
        <f t="array" ref="L59">IF($A59="","",IF($J59="No","",GetMatchingValue($XFD$9,"Original","Control Number",L$2,$A59)))</f>
        <v/>
      </c>
      <c r="M59" s="13" t="str">
        <f t="shared" ca="1" si="2"/>
        <v/>
      </c>
      <c r="N59" s="16"/>
      <c r="O59" s="34" t="str" cm="1">
        <f t="array" ref="O59">IF($A59="","",IF($J59="No","",GetMatchingValue($XFD$9,"Original","Control Number",O$2,$A59)))</f>
        <v/>
      </c>
      <c r="P59" s="34" t="str" cm="1">
        <f t="array" ref="P59">IF($A59="","",IF($J59="No","",GetMatchingValue($XFD$9,"Original","Control Number",P$2,$A59)))</f>
        <v/>
      </c>
      <c r="Q59" s="34" t="str" cm="1">
        <f t="array" ref="Q59">IF($A59="","",IF($J59="No","",GetMatchingValue($XFD$9,"Original","Control Number",Q$2,$A59)))</f>
        <v/>
      </c>
      <c r="R59" s="34" t="str" cm="1">
        <f t="array" ref="R59">IF($A59="","",IF($J59="No","",GetMatchingValue($XFD$9,"Original","Control Number",R$2,$A59)))</f>
        <v/>
      </c>
      <c r="S59" s="34" t="str" cm="1">
        <f t="array" ref="S59">IF($A59="","",IF($J59="No","",GetMatchingValue($XFD$9,"Original","Control Number",S$2,$A59)))</f>
        <v/>
      </c>
      <c r="T59" s="34" t="str" cm="1">
        <f t="array" ref="T59">IF($A59="","",IF($J59="No","",GetMatchingValue($XFD$9,"Original","Control Number",T$2,$A59)))</f>
        <v/>
      </c>
      <c r="U59" s="34" t="str" cm="1">
        <f t="array" ref="U59">IF($A59="","",IF($J59="No","",GetMatchingValue($XFD$9,"Original","Control Number",U$2,$A59)))</f>
        <v/>
      </c>
      <c r="V59" s="14"/>
      <c r="W59" s="17"/>
      <c r="X59" s="17"/>
      <c r="Y59" s="17"/>
      <c r="Z59" s="13"/>
      <c r="AA59" s="13"/>
      <c r="AB59" s="13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3"/>
    </row>
    <row r="60" spans="1:45" ht="36" customHeight="1" x14ac:dyDescent="0.2">
      <c r="A60" s="18"/>
      <c r="B60" s="14"/>
      <c r="C60" s="15"/>
      <c r="D60" s="15"/>
      <c r="E60" s="13"/>
      <c r="F60" s="34" t="str" cm="1">
        <f t="array" ref="F60">IF($A60="","",GetMatchingValue($XFD$8,"Original","Control Number",F$2,$A60))</f>
        <v/>
      </c>
      <c r="G60" s="34" t="str" cm="1">
        <f t="array" ref="G60">IF($A60="","",GetMatchingValue($XFD$8,"Original","Control Number",G$2,$A60))</f>
        <v/>
      </c>
      <c r="H60" s="34" t="str" cm="1">
        <f t="array" ref="H60">IF($A60="","",GetMatchingValue($XFD$8,"Original","Control Number",H$2,$A60))</f>
        <v/>
      </c>
      <c r="I60" s="13"/>
      <c r="J60" s="13" t="str" cm="1">
        <f t="array" ref="J60">IF($A60="","",CheckControlNumberExists($XFD$9, "Original", $A60))</f>
        <v/>
      </c>
      <c r="K60" s="34" t="str" cm="1">
        <f t="array" ref="K60">IF($A60="","",IF($J60="No","",GetMatchingValue($XFD$9,"Original","Control Number",K$2,$A60)))</f>
        <v/>
      </c>
      <c r="L60" s="34" t="str" cm="1">
        <f t="array" ref="L60">IF($A60="","",IF($J60="No","",GetMatchingValue($XFD$9,"Original","Control Number",L$2,$A60)))</f>
        <v/>
      </c>
      <c r="M60" s="13" t="str">
        <f t="shared" ca="1" si="2"/>
        <v/>
      </c>
      <c r="N60" s="16"/>
      <c r="O60" s="34" t="str" cm="1">
        <f t="array" ref="O60">IF($A60="","",IF($J60="No","",GetMatchingValue($XFD$9,"Original","Control Number",O$2,$A60)))</f>
        <v/>
      </c>
      <c r="P60" s="34" t="str" cm="1">
        <f t="array" ref="P60">IF($A60="","",IF($J60="No","",GetMatchingValue($XFD$9,"Original","Control Number",P$2,$A60)))</f>
        <v/>
      </c>
      <c r="Q60" s="34" t="str" cm="1">
        <f t="array" ref="Q60">IF($A60="","",IF($J60="No","",GetMatchingValue($XFD$9,"Original","Control Number",Q$2,$A60)))</f>
        <v/>
      </c>
      <c r="R60" s="34" t="str" cm="1">
        <f t="array" ref="R60">IF($A60="","",IF($J60="No","",GetMatchingValue($XFD$9,"Original","Control Number",R$2,$A60)))</f>
        <v/>
      </c>
      <c r="S60" s="34" t="str" cm="1">
        <f t="array" ref="S60">IF($A60="","",IF($J60="No","",GetMatchingValue($XFD$9,"Original","Control Number",S$2,$A60)))</f>
        <v/>
      </c>
      <c r="T60" s="34" t="str" cm="1">
        <f t="array" ref="T60">IF($A60="","",IF($J60="No","",GetMatchingValue($XFD$9,"Original","Control Number",T$2,$A60)))</f>
        <v/>
      </c>
      <c r="U60" s="34" t="str" cm="1">
        <f t="array" ref="U60">IF($A60="","",IF($J60="No","",GetMatchingValue($XFD$9,"Original","Control Number",U$2,$A60)))</f>
        <v/>
      </c>
      <c r="V60" s="14"/>
      <c r="W60" s="17"/>
      <c r="X60" s="17"/>
      <c r="Y60" s="17"/>
      <c r="Z60" s="13"/>
      <c r="AA60" s="13"/>
      <c r="AB60" s="13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3"/>
    </row>
    <row r="61" spans="1:45" ht="36" customHeight="1" x14ac:dyDescent="0.2">
      <c r="A61" s="13"/>
      <c r="B61" s="14"/>
      <c r="C61" s="15"/>
      <c r="D61" s="15"/>
      <c r="E61" s="13"/>
      <c r="F61" s="34" t="str" cm="1">
        <f t="array" ref="F61">IF($A61="","",GetMatchingValue($XFD$8,"Original","Control Number",F$2,$A61))</f>
        <v/>
      </c>
      <c r="G61" s="34" t="str" cm="1">
        <f t="array" ref="G61">IF($A61="","",GetMatchingValue($XFD$8,"Original","Control Number",G$2,$A61))</f>
        <v/>
      </c>
      <c r="H61" s="34" t="str" cm="1">
        <f t="array" ref="H61">IF($A61="","",GetMatchingValue($XFD$8,"Original","Control Number",H$2,$A61))</f>
        <v/>
      </c>
      <c r="I61" s="13"/>
      <c r="J61" s="13" t="str" cm="1">
        <f t="array" ref="J61">IF($A61="","",CheckControlNumberExists($XFD$9, "Original", $A61))</f>
        <v/>
      </c>
      <c r="K61" s="34" t="str" cm="1">
        <f t="array" ref="K61">IF($A61="","",IF($J61="No","",GetMatchingValue($XFD$9,"Original","Control Number",K$2,$A61)))</f>
        <v/>
      </c>
      <c r="L61" s="34" t="str" cm="1">
        <f t="array" ref="L61">IF($A61="","",IF($J61="No","",GetMatchingValue($XFD$9,"Original","Control Number",L$2,$A61)))</f>
        <v/>
      </c>
      <c r="M61" s="13" t="str">
        <f t="shared" ca="1" si="2"/>
        <v/>
      </c>
      <c r="N61" s="16"/>
      <c r="O61" s="34" t="str" cm="1">
        <f t="array" ref="O61">IF($A61="","",IF($J61="No","",GetMatchingValue($XFD$9,"Original","Control Number",O$2,$A61)))</f>
        <v/>
      </c>
      <c r="P61" s="34" t="str" cm="1">
        <f t="array" ref="P61">IF($A61="","",IF($J61="No","",GetMatchingValue($XFD$9,"Original","Control Number",P$2,$A61)))</f>
        <v/>
      </c>
      <c r="Q61" s="34" t="str" cm="1">
        <f t="array" ref="Q61">IF($A61="","",IF($J61="No","",GetMatchingValue($XFD$9,"Original","Control Number",Q$2,$A61)))</f>
        <v/>
      </c>
      <c r="R61" s="34" t="str" cm="1">
        <f t="array" ref="R61">IF($A61="","",IF($J61="No","",GetMatchingValue($XFD$9,"Original","Control Number",R$2,$A61)))</f>
        <v/>
      </c>
      <c r="S61" s="34" t="str" cm="1">
        <f t="array" ref="S61">IF($A61="","",IF($J61="No","",GetMatchingValue($XFD$9,"Original","Control Number",S$2,$A61)))</f>
        <v/>
      </c>
      <c r="T61" s="34" t="str" cm="1">
        <f t="array" ref="T61">IF($A61="","",IF($J61="No","",GetMatchingValue($XFD$9,"Original","Control Number",T$2,$A61)))</f>
        <v/>
      </c>
      <c r="U61" s="34" t="str" cm="1">
        <f t="array" ref="U61">IF($A61="","",IF($J61="No","",GetMatchingValue($XFD$9,"Original","Control Number",U$2,$A61)))</f>
        <v/>
      </c>
      <c r="V61" s="14"/>
      <c r="W61" s="17"/>
      <c r="X61" s="17"/>
      <c r="Y61" s="17"/>
      <c r="Z61" s="13"/>
      <c r="AA61" s="13"/>
      <c r="AB61" s="13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3"/>
    </row>
    <row r="62" spans="1:45" ht="36" customHeight="1" x14ac:dyDescent="0.2">
      <c r="A62" s="18"/>
      <c r="B62" s="14"/>
      <c r="C62" s="15"/>
      <c r="D62" s="15"/>
      <c r="E62" s="13"/>
      <c r="F62" s="34" t="str" cm="1">
        <f t="array" ref="F62">IF($A62="","",GetMatchingValue($XFD$8,"Original","Control Number",F$2,$A62))</f>
        <v/>
      </c>
      <c r="G62" s="34" t="str" cm="1">
        <f t="array" ref="G62">IF($A62="","",GetMatchingValue($XFD$8,"Original","Control Number",G$2,$A62))</f>
        <v/>
      </c>
      <c r="H62" s="34" t="str" cm="1">
        <f t="array" ref="H62">IF($A62="","",GetMatchingValue($XFD$8,"Original","Control Number",H$2,$A62))</f>
        <v/>
      </c>
      <c r="I62" s="13"/>
      <c r="J62" s="13" t="str" cm="1">
        <f t="array" ref="J62">IF($A62="","",CheckControlNumberExists($XFD$9, "Original", $A62))</f>
        <v/>
      </c>
      <c r="K62" s="34" t="str" cm="1">
        <f t="array" ref="K62">IF($A62="","",IF($J62="No","",GetMatchingValue($XFD$9,"Original","Control Number",K$2,$A62)))</f>
        <v/>
      </c>
      <c r="L62" s="34" t="str" cm="1">
        <f t="array" ref="L62">IF($A62="","",IF($J62="No","",GetMatchingValue($XFD$9,"Original","Control Number",L$2,$A62)))</f>
        <v/>
      </c>
      <c r="M62" s="13" t="str">
        <f t="shared" ca="1" si="2"/>
        <v/>
      </c>
      <c r="N62" s="16"/>
      <c r="O62" s="34" t="str" cm="1">
        <f t="array" ref="O62">IF($A62="","",IF($J62="No","",GetMatchingValue($XFD$9,"Original","Control Number",O$2,$A62)))</f>
        <v/>
      </c>
      <c r="P62" s="34" t="str" cm="1">
        <f t="array" ref="P62">IF($A62="","",IF($J62="No","",GetMatchingValue($XFD$9,"Original","Control Number",P$2,$A62)))</f>
        <v/>
      </c>
      <c r="Q62" s="34" t="str" cm="1">
        <f t="array" ref="Q62">IF($A62="","",IF($J62="No","",GetMatchingValue($XFD$9,"Original","Control Number",Q$2,$A62)))</f>
        <v/>
      </c>
      <c r="R62" s="34" t="str" cm="1">
        <f t="array" ref="R62">IF($A62="","",IF($J62="No","",GetMatchingValue($XFD$9,"Original","Control Number",R$2,$A62)))</f>
        <v/>
      </c>
      <c r="S62" s="34" t="str" cm="1">
        <f t="array" ref="S62">IF($A62="","",IF($J62="No","",GetMatchingValue($XFD$9,"Original","Control Number",S$2,$A62)))</f>
        <v/>
      </c>
      <c r="T62" s="34" t="str" cm="1">
        <f t="array" ref="T62">IF($A62="","",IF($J62="No","",GetMatchingValue($XFD$9,"Original","Control Number",T$2,$A62)))</f>
        <v/>
      </c>
      <c r="U62" s="34" t="str" cm="1">
        <f t="array" ref="U62">IF($A62="","",IF($J62="No","",GetMatchingValue($XFD$9,"Original","Control Number",U$2,$A62)))</f>
        <v/>
      </c>
      <c r="V62" s="14"/>
      <c r="W62" s="17"/>
      <c r="X62" s="17"/>
      <c r="Y62" s="17"/>
      <c r="Z62" s="13"/>
      <c r="AA62" s="13"/>
      <c r="AB62" s="13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3"/>
    </row>
    <row r="63" spans="1:45" ht="36" customHeight="1" x14ac:dyDescent="0.2">
      <c r="A63" s="13"/>
      <c r="B63" s="14"/>
      <c r="C63" s="15"/>
      <c r="D63" s="15"/>
      <c r="E63" s="13"/>
      <c r="F63" s="34" t="str" cm="1">
        <f t="array" ref="F63">IF($A63="","",GetMatchingValue($XFD$8,"Original","Control Number",F$2,$A63))</f>
        <v/>
      </c>
      <c r="G63" s="34" t="str" cm="1">
        <f t="array" ref="G63">IF($A63="","",GetMatchingValue($XFD$8,"Original","Control Number",G$2,$A63))</f>
        <v/>
      </c>
      <c r="H63" s="34" t="str" cm="1">
        <f t="array" ref="H63">IF($A63="","",GetMatchingValue($XFD$8,"Original","Control Number",H$2,$A63))</f>
        <v/>
      </c>
      <c r="I63" s="13"/>
      <c r="J63" s="13" t="str" cm="1">
        <f t="array" ref="J63">IF($A63="","",CheckControlNumberExists($XFD$9, "Original", $A63))</f>
        <v/>
      </c>
      <c r="K63" s="34" t="str" cm="1">
        <f t="array" ref="K63">IF($A63="","",IF($J63="No","",GetMatchingValue($XFD$9,"Original","Control Number",K$2,$A63)))</f>
        <v/>
      </c>
      <c r="L63" s="34" t="str" cm="1">
        <f t="array" ref="L63">IF($A63="","",IF($J63="No","",GetMatchingValue($XFD$9,"Original","Control Number",L$2,$A63)))</f>
        <v/>
      </c>
      <c r="M63" s="13" t="str">
        <f t="shared" ca="1" si="2"/>
        <v/>
      </c>
      <c r="N63" s="16"/>
      <c r="O63" s="34" t="str" cm="1">
        <f t="array" ref="O63">IF($A63="","",IF($J63="No","",GetMatchingValue($XFD$9,"Original","Control Number",O$2,$A63)))</f>
        <v/>
      </c>
      <c r="P63" s="34" t="str" cm="1">
        <f t="array" ref="P63">IF($A63="","",IF($J63="No","",GetMatchingValue($XFD$9,"Original","Control Number",P$2,$A63)))</f>
        <v/>
      </c>
      <c r="Q63" s="34" t="str" cm="1">
        <f t="array" ref="Q63">IF($A63="","",IF($J63="No","",GetMatchingValue($XFD$9,"Original","Control Number",Q$2,$A63)))</f>
        <v/>
      </c>
      <c r="R63" s="34" t="str" cm="1">
        <f t="array" ref="R63">IF($A63="","",IF($J63="No","",GetMatchingValue($XFD$9,"Original","Control Number",R$2,$A63)))</f>
        <v/>
      </c>
      <c r="S63" s="34" t="str" cm="1">
        <f t="array" ref="S63">IF($A63="","",IF($J63="No","",GetMatchingValue($XFD$9,"Original","Control Number",S$2,$A63)))</f>
        <v/>
      </c>
      <c r="T63" s="34" t="str" cm="1">
        <f t="array" ref="T63">IF($A63="","",IF($J63="No","",GetMatchingValue($XFD$9,"Original","Control Number",T$2,$A63)))</f>
        <v/>
      </c>
      <c r="U63" s="34" t="str" cm="1">
        <f t="array" ref="U63">IF($A63="","",IF($J63="No","",GetMatchingValue($XFD$9,"Original","Control Number",U$2,$A63)))</f>
        <v/>
      </c>
      <c r="V63" s="14"/>
      <c r="W63" s="17"/>
      <c r="X63" s="17"/>
      <c r="Y63" s="17"/>
      <c r="Z63" s="13"/>
      <c r="AA63" s="13"/>
      <c r="AB63" s="13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3"/>
    </row>
    <row r="64" spans="1:45" ht="36" customHeight="1" x14ac:dyDescent="0.2">
      <c r="A64" s="13"/>
      <c r="B64" s="14"/>
      <c r="C64" s="15"/>
      <c r="D64" s="15"/>
      <c r="E64" s="13"/>
      <c r="F64" s="34" t="str" cm="1">
        <f t="array" ref="F64">IF($A64="","",GetMatchingValue($XFD$8,"Original","Control Number",F$2,$A64))</f>
        <v/>
      </c>
      <c r="G64" s="34" t="str" cm="1">
        <f t="array" ref="G64">IF($A64="","",GetMatchingValue($XFD$8,"Original","Control Number",G$2,$A64))</f>
        <v/>
      </c>
      <c r="H64" s="34" t="str" cm="1">
        <f t="array" ref="H64">IF($A64="","",GetMatchingValue($XFD$8,"Original","Control Number",H$2,$A64))</f>
        <v/>
      </c>
      <c r="I64" s="13"/>
      <c r="J64" s="13" t="str" cm="1">
        <f t="array" ref="J64">IF($A64="","",CheckControlNumberExists($XFD$9, "Original", $A64))</f>
        <v/>
      </c>
      <c r="K64" s="34" t="str" cm="1">
        <f t="array" ref="K64">IF($A64="","",IF($J64="No","",GetMatchingValue($XFD$9,"Original","Control Number",K$2,$A64)))</f>
        <v/>
      </c>
      <c r="L64" s="34" t="str" cm="1">
        <f t="array" ref="L64">IF($A64="","",IF($J64="No","",GetMatchingValue($XFD$9,"Original","Control Number",L$2,$A64)))</f>
        <v/>
      </c>
      <c r="M64" s="13" t="str">
        <f t="shared" ca="1" si="2"/>
        <v/>
      </c>
      <c r="N64" s="16"/>
      <c r="O64" s="34" t="str" cm="1">
        <f t="array" ref="O64">IF($A64="","",IF($J64="No","",GetMatchingValue($XFD$9,"Original","Control Number",O$2,$A64)))</f>
        <v/>
      </c>
      <c r="P64" s="34" t="str" cm="1">
        <f t="array" ref="P64">IF($A64="","",IF($J64="No","",GetMatchingValue($XFD$9,"Original","Control Number",P$2,$A64)))</f>
        <v/>
      </c>
      <c r="Q64" s="34" t="str" cm="1">
        <f t="array" ref="Q64">IF($A64="","",IF($J64="No","",GetMatchingValue($XFD$9,"Original","Control Number",Q$2,$A64)))</f>
        <v/>
      </c>
      <c r="R64" s="34" t="str" cm="1">
        <f t="array" ref="R64">IF($A64="","",IF($J64="No","",GetMatchingValue($XFD$9,"Original","Control Number",R$2,$A64)))</f>
        <v/>
      </c>
      <c r="S64" s="34" t="str" cm="1">
        <f t="array" ref="S64">IF($A64="","",IF($J64="No","",GetMatchingValue($XFD$9,"Original","Control Number",S$2,$A64)))</f>
        <v/>
      </c>
      <c r="T64" s="34" t="str" cm="1">
        <f t="array" ref="T64">IF($A64="","",IF($J64="No","",GetMatchingValue($XFD$9,"Original","Control Number",T$2,$A64)))</f>
        <v/>
      </c>
      <c r="U64" s="34" t="str" cm="1">
        <f t="array" ref="U64">IF($A64="","",IF($J64="No","",GetMatchingValue($XFD$9,"Original","Control Number",U$2,$A64)))</f>
        <v/>
      </c>
      <c r="V64" s="14"/>
      <c r="W64" s="17"/>
      <c r="X64" s="17"/>
      <c r="Y64" s="17"/>
      <c r="Z64" s="13"/>
      <c r="AA64" s="13"/>
      <c r="AB64" s="13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3"/>
    </row>
    <row r="65" spans="1:45" ht="36" customHeight="1" x14ac:dyDescent="0.2">
      <c r="A65" s="13"/>
      <c r="B65" s="14"/>
      <c r="C65" s="15"/>
      <c r="D65" s="15"/>
      <c r="E65" s="13"/>
      <c r="F65" s="34" t="str" cm="1">
        <f t="array" ref="F65">IF($A65="","",GetMatchingValue($XFD$8,"Original","Control Number",F$2,$A65))</f>
        <v/>
      </c>
      <c r="G65" s="34" t="str" cm="1">
        <f t="array" ref="G65">IF($A65="","",GetMatchingValue($XFD$8,"Original","Control Number",G$2,$A65))</f>
        <v/>
      </c>
      <c r="H65" s="34" t="str" cm="1">
        <f t="array" ref="H65">IF($A65="","",GetMatchingValue($XFD$8,"Original","Control Number",H$2,$A65))</f>
        <v/>
      </c>
      <c r="I65" s="13"/>
      <c r="J65" s="13" t="str" cm="1">
        <f t="array" ref="J65">IF($A65="","",CheckControlNumberExists($XFD$9, "Original", $A65))</f>
        <v/>
      </c>
      <c r="K65" s="34" t="str" cm="1">
        <f t="array" ref="K65">IF($A65="","",IF($J65="No","",GetMatchingValue($XFD$9,"Original","Control Number",K$2,$A65)))</f>
        <v/>
      </c>
      <c r="L65" s="34" t="str" cm="1">
        <f t="array" ref="L65">IF($A65="","",IF($J65="No","",GetMatchingValue($XFD$9,"Original","Control Number",L$2,$A65)))</f>
        <v/>
      </c>
      <c r="M65" s="13" t="str">
        <f t="shared" ca="1" si="2"/>
        <v/>
      </c>
      <c r="N65" s="16"/>
      <c r="O65" s="34" t="str" cm="1">
        <f t="array" ref="O65">IF($A65="","",IF($J65="No","",GetMatchingValue($XFD$9,"Original","Control Number",O$2,$A65)))</f>
        <v/>
      </c>
      <c r="P65" s="34" t="str" cm="1">
        <f t="array" ref="P65">IF($A65="","",IF($J65="No","",GetMatchingValue($XFD$9,"Original","Control Number",P$2,$A65)))</f>
        <v/>
      </c>
      <c r="Q65" s="34" t="str" cm="1">
        <f t="array" ref="Q65">IF($A65="","",IF($J65="No","",GetMatchingValue($XFD$9,"Original","Control Number",Q$2,$A65)))</f>
        <v/>
      </c>
      <c r="R65" s="34" t="str" cm="1">
        <f t="array" ref="R65">IF($A65="","",IF($J65="No","",GetMatchingValue($XFD$9,"Original","Control Number",R$2,$A65)))</f>
        <v/>
      </c>
      <c r="S65" s="34" t="str" cm="1">
        <f t="array" ref="S65">IF($A65="","",IF($J65="No","",GetMatchingValue($XFD$9,"Original","Control Number",S$2,$A65)))</f>
        <v/>
      </c>
      <c r="T65" s="34" t="str" cm="1">
        <f t="array" ref="T65">IF($A65="","",IF($J65="No","",GetMatchingValue($XFD$9,"Original","Control Number",T$2,$A65)))</f>
        <v/>
      </c>
      <c r="U65" s="34" t="str" cm="1">
        <f t="array" ref="U65">IF($A65="","",IF($J65="No","",GetMatchingValue($XFD$9,"Original","Control Number",U$2,$A65)))</f>
        <v/>
      </c>
      <c r="V65" s="14"/>
      <c r="W65" s="17"/>
      <c r="X65" s="17"/>
      <c r="Y65" s="17"/>
      <c r="Z65" s="13"/>
      <c r="AA65" s="13"/>
      <c r="AB65" s="13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3"/>
    </row>
    <row r="66" spans="1:45" ht="36" customHeight="1" x14ac:dyDescent="0.2">
      <c r="A66" s="13"/>
      <c r="B66" s="14"/>
      <c r="C66" s="15"/>
      <c r="D66" s="15"/>
      <c r="E66" s="13"/>
      <c r="F66" s="34" t="str" cm="1">
        <f t="array" ref="F66">IF($A66="","",GetMatchingValue($XFD$8,"Original","Control Number",F$2,$A66))</f>
        <v/>
      </c>
      <c r="G66" s="34" t="str" cm="1">
        <f t="array" ref="G66">IF($A66="","",GetMatchingValue($XFD$8,"Original","Control Number",G$2,$A66))</f>
        <v/>
      </c>
      <c r="H66" s="34" t="str" cm="1">
        <f t="array" ref="H66">IF($A66="","",GetMatchingValue($XFD$8,"Original","Control Number",H$2,$A66))</f>
        <v/>
      </c>
      <c r="I66" s="13"/>
      <c r="J66" s="13" t="str" cm="1">
        <f t="array" ref="J66">IF($A66="","",CheckControlNumberExists($XFD$9, "Original", $A66))</f>
        <v/>
      </c>
      <c r="K66" s="34" t="str" cm="1">
        <f t="array" ref="K66">IF($A66="","",IF($J66="No","",GetMatchingValue($XFD$9,"Original","Control Number",K$2,$A66)))</f>
        <v/>
      </c>
      <c r="L66" s="34" t="str" cm="1">
        <f t="array" ref="L66">IF($A66="","",IF($J66="No","",GetMatchingValue($XFD$9,"Original","Control Number",L$2,$A66)))</f>
        <v/>
      </c>
      <c r="M66" s="13" t="str">
        <f t="shared" ca="1" si="2"/>
        <v/>
      </c>
      <c r="N66" s="16"/>
      <c r="O66" s="34" t="str" cm="1">
        <f t="array" ref="O66">IF($A66="","",IF($J66="No","",GetMatchingValue($XFD$9,"Original","Control Number",O$2,$A66)))</f>
        <v/>
      </c>
      <c r="P66" s="34" t="str" cm="1">
        <f t="array" ref="P66">IF($A66="","",IF($J66="No","",GetMatchingValue($XFD$9,"Original","Control Number",P$2,$A66)))</f>
        <v/>
      </c>
      <c r="Q66" s="34" t="str" cm="1">
        <f t="array" ref="Q66">IF($A66="","",IF($J66="No","",GetMatchingValue($XFD$9,"Original","Control Number",Q$2,$A66)))</f>
        <v/>
      </c>
      <c r="R66" s="34" t="str" cm="1">
        <f t="array" ref="R66">IF($A66="","",IF($J66="No","",GetMatchingValue($XFD$9,"Original","Control Number",R$2,$A66)))</f>
        <v/>
      </c>
      <c r="S66" s="34" t="str" cm="1">
        <f t="array" ref="S66">IF($A66="","",IF($J66="No","",GetMatchingValue($XFD$9,"Original","Control Number",S$2,$A66)))</f>
        <v/>
      </c>
      <c r="T66" s="34" t="str" cm="1">
        <f t="array" ref="T66">IF($A66="","",IF($J66="No","",GetMatchingValue($XFD$9,"Original","Control Number",T$2,$A66)))</f>
        <v/>
      </c>
      <c r="U66" s="34" t="str" cm="1">
        <f t="array" ref="U66">IF($A66="","",IF($J66="No","",GetMatchingValue($XFD$9,"Original","Control Number",U$2,$A66)))</f>
        <v/>
      </c>
      <c r="V66" s="14"/>
      <c r="W66" s="17"/>
      <c r="X66" s="17"/>
      <c r="Y66" s="17"/>
      <c r="Z66" s="13"/>
      <c r="AA66" s="13"/>
      <c r="AB66" s="13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3"/>
    </row>
    <row r="67" spans="1:45" ht="36" customHeight="1" x14ac:dyDescent="0.2">
      <c r="A67" s="13"/>
      <c r="B67" s="14"/>
      <c r="C67" s="15"/>
      <c r="D67" s="15"/>
      <c r="E67" s="13"/>
      <c r="F67" s="34" t="str" cm="1">
        <f t="array" ref="F67">IF($A67="","",GetMatchingValue($XFD$8,"Original","Control Number",F$2,$A67))</f>
        <v/>
      </c>
      <c r="G67" s="34" t="str" cm="1">
        <f t="array" ref="G67">IF($A67="","",GetMatchingValue($XFD$8,"Original","Control Number",G$2,$A67))</f>
        <v/>
      </c>
      <c r="H67" s="34" t="str" cm="1">
        <f t="array" ref="H67">IF($A67="","",GetMatchingValue($XFD$8,"Original","Control Number",H$2,$A67))</f>
        <v/>
      </c>
      <c r="I67" s="13"/>
      <c r="J67" s="13" t="str" cm="1">
        <f t="array" ref="J67">IF($A67="","",CheckControlNumberExists($XFD$9, "Original", $A67))</f>
        <v/>
      </c>
      <c r="K67" s="34" t="str" cm="1">
        <f t="array" ref="K67">IF($A67="","",IF($J67="No","",GetMatchingValue($XFD$9,"Original","Control Number",K$2,$A67)))</f>
        <v/>
      </c>
      <c r="L67" s="34" t="str" cm="1">
        <f t="array" ref="L67">IF($A67="","",IF($J67="No","",GetMatchingValue($XFD$9,"Original","Control Number",L$2,$A67)))</f>
        <v/>
      </c>
      <c r="M67" s="13" t="str">
        <f t="shared" ca="1" si="2"/>
        <v/>
      </c>
      <c r="N67" s="16"/>
      <c r="O67" s="34" t="str" cm="1">
        <f t="array" ref="O67">IF($A67="","",IF($J67="No","",GetMatchingValue($XFD$9,"Original","Control Number",O$2,$A67)))</f>
        <v/>
      </c>
      <c r="P67" s="34" t="str" cm="1">
        <f t="array" ref="P67">IF($A67="","",IF($J67="No","",GetMatchingValue($XFD$9,"Original","Control Number",P$2,$A67)))</f>
        <v/>
      </c>
      <c r="Q67" s="34" t="str" cm="1">
        <f t="array" ref="Q67">IF($A67="","",IF($J67="No","",GetMatchingValue($XFD$9,"Original","Control Number",Q$2,$A67)))</f>
        <v/>
      </c>
      <c r="R67" s="34" t="str" cm="1">
        <f t="array" ref="R67">IF($A67="","",IF($J67="No","",GetMatchingValue($XFD$9,"Original","Control Number",R$2,$A67)))</f>
        <v/>
      </c>
      <c r="S67" s="34" t="str" cm="1">
        <f t="array" ref="S67">IF($A67="","",IF($J67="No","",GetMatchingValue($XFD$9,"Original","Control Number",S$2,$A67)))</f>
        <v/>
      </c>
      <c r="T67" s="34" t="str" cm="1">
        <f t="array" ref="T67">IF($A67="","",IF($J67="No","",GetMatchingValue($XFD$9,"Original","Control Number",T$2,$A67)))</f>
        <v/>
      </c>
      <c r="U67" s="34" t="str" cm="1">
        <f t="array" ref="U67">IF($A67="","",IF($J67="No","",GetMatchingValue($XFD$9,"Original","Control Number",U$2,$A67)))</f>
        <v/>
      </c>
      <c r="V67" s="14"/>
      <c r="W67" s="17"/>
      <c r="X67" s="17"/>
      <c r="Y67" s="17"/>
      <c r="Z67" s="13"/>
      <c r="AA67" s="13"/>
      <c r="AB67" s="13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3"/>
    </row>
    <row r="68" spans="1:45" ht="36" customHeight="1" x14ac:dyDescent="0.2">
      <c r="A68" s="13"/>
      <c r="B68" s="14"/>
      <c r="C68" s="15"/>
      <c r="D68" s="15"/>
      <c r="E68" s="13"/>
      <c r="F68" s="34" t="str" cm="1">
        <f t="array" ref="F68">IF($A68="","",GetMatchingValue($XFD$8,"Original","Control Number",F$2,$A68))</f>
        <v/>
      </c>
      <c r="G68" s="34" t="str" cm="1">
        <f t="array" ref="G68">IF($A68="","",GetMatchingValue($XFD$8,"Original","Control Number",G$2,$A68))</f>
        <v/>
      </c>
      <c r="H68" s="34" t="str" cm="1">
        <f t="array" ref="H68">IF($A68="","",GetMatchingValue($XFD$8,"Original","Control Number",H$2,$A68))</f>
        <v/>
      </c>
      <c r="I68" s="13"/>
      <c r="J68" s="13" t="str" cm="1">
        <f t="array" ref="J68">IF($A68="","",CheckControlNumberExists($XFD$9, "Original", $A68))</f>
        <v/>
      </c>
      <c r="K68" s="34" t="str" cm="1">
        <f t="array" ref="K68">IF($A68="","",IF($J68="No","",GetMatchingValue($XFD$9,"Original","Control Number",K$2,$A68)))</f>
        <v/>
      </c>
      <c r="L68" s="34" t="str" cm="1">
        <f t="array" ref="L68">IF($A68="","",IF($J68="No","",GetMatchingValue($XFD$9,"Original","Control Number",L$2,$A68)))</f>
        <v/>
      </c>
      <c r="M68" s="13" t="str">
        <f t="shared" ca="1" si="2"/>
        <v/>
      </c>
      <c r="N68" s="16"/>
      <c r="O68" s="34" t="str" cm="1">
        <f t="array" ref="O68">IF($A68="","",IF($J68="No","",GetMatchingValue($XFD$9,"Original","Control Number",O$2,$A68)))</f>
        <v/>
      </c>
      <c r="P68" s="34" t="str" cm="1">
        <f t="array" ref="P68">IF($A68="","",IF($J68="No","",GetMatchingValue($XFD$9,"Original","Control Number",P$2,$A68)))</f>
        <v/>
      </c>
      <c r="Q68" s="34" t="str" cm="1">
        <f t="array" ref="Q68">IF($A68="","",IF($J68="No","",GetMatchingValue($XFD$9,"Original","Control Number",Q$2,$A68)))</f>
        <v/>
      </c>
      <c r="R68" s="34" t="str" cm="1">
        <f t="array" ref="R68">IF($A68="","",IF($J68="No","",GetMatchingValue($XFD$9,"Original","Control Number",R$2,$A68)))</f>
        <v/>
      </c>
      <c r="S68" s="34" t="str" cm="1">
        <f t="array" ref="S68">IF($A68="","",IF($J68="No","",GetMatchingValue($XFD$9,"Original","Control Number",S$2,$A68)))</f>
        <v/>
      </c>
      <c r="T68" s="34" t="str" cm="1">
        <f t="array" ref="T68">IF($A68="","",IF($J68="No","",GetMatchingValue($XFD$9,"Original","Control Number",T$2,$A68)))</f>
        <v/>
      </c>
      <c r="U68" s="34" t="str" cm="1">
        <f t="array" ref="U68">IF($A68="","",IF($J68="No","",GetMatchingValue($XFD$9,"Original","Control Number",U$2,$A68)))</f>
        <v/>
      </c>
      <c r="V68" s="14"/>
      <c r="W68" s="17"/>
      <c r="X68" s="17"/>
      <c r="Y68" s="17"/>
      <c r="Z68" s="13"/>
      <c r="AA68" s="13"/>
      <c r="AB68" s="13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3"/>
    </row>
    <row r="69" spans="1:45" ht="36" customHeight="1" x14ac:dyDescent="0.2">
      <c r="A69" s="13"/>
      <c r="B69" s="14"/>
      <c r="C69" s="15"/>
      <c r="D69" s="15"/>
      <c r="E69" s="13"/>
      <c r="F69" s="34" t="str" cm="1">
        <f t="array" ref="F69">IF($A69="","",GetMatchingValue($XFD$8,"Original","Control Number",F$2,$A69))</f>
        <v/>
      </c>
      <c r="G69" s="34" t="str" cm="1">
        <f t="array" ref="G69">IF($A69="","",GetMatchingValue($XFD$8,"Original","Control Number",G$2,$A69))</f>
        <v/>
      </c>
      <c r="H69" s="34" t="str" cm="1">
        <f t="array" ref="H69">IF($A69="","",GetMatchingValue($XFD$8,"Original","Control Number",H$2,$A69))</f>
        <v/>
      </c>
      <c r="I69" s="13"/>
      <c r="J69" s="13" t="str" cm="1">
        <f t="array" ref="J69">IF($A69="","",CheckControlNumberExists($XFD$9, "Original", $A69))</f>
        <v/>
      </c>
      <c r="K69" s="34" t="str" cm="1">
        <f t="array" ref="K69">IF($A69="","",IF($J69="No","",GetMatchingValue($XFD$9,"Original","Control Number",K$2,$A69)))</f>
        <v/>
      </c>
      <c r="L69" s="34" t="str" cm="1">
        <f t="array" ref="L69">IF($A69="","",IF($J69="No","",GetMatchingValue($XFD$9,"Original","Control Number",L$2,$A69)))</f>
        <v/>
      </c>
      <c r="M69" s="13" t="str">
        <f t="shared" ca="1" si="2"/>
        <v/>
      </c>
      <c r="N69" s="16"/>
      <c r="O69" s="34" t="str" cm="1">
        <f t="array" ref="O69">IF($A69="","",IF($J69="No","",GetMatchingValue($XFD$9,"Original","Control Number",O$2,$A69)))</f>
        <v/>
      </c>
      <c r="P69" s="34" t="str" cm="1">
        <f t="array" ref="P69">IF($A69="","",IF($J69="No","",GetMatchingValue($XFD$9,"Original","Control Number",P$2,$A69)))</f>
        <v/>
      </c>
      <c r="Q69" s="34" t="str" cm="1">
        <f t="array" ref="Q69">IF($A69="","",IF($J69="No","",GetMatchingValue($XFD$9,"Original","Control Number",Q$2,$A69)))</f>
        <v/>
      </c>
      <c r="R69" s="34" t="str" cm="1">
        <f t="array" ref="R69">IF($A69="","",IF($J69="No","",GetMatchingValue($XFD$9,"Original","Control Number",R$2,$A69)))</f>
        <v/>
      </c>
      <c r="S69" s="34" t="str" cm="1">
        <f t="array" ref="S69">IF($A69="","",IF($J69="No","",GetMatchingValue($XFD$9,"Original","Control Number",S$2,$A69)))</f>
        <v/>
      </c>
      <c r="T69" s="34" t="str" cm="1">
        <f t="array" ref="T69">IF($A69="","",IF($J69="No","",GetMatchingValue($XFD$9,"Original","Control Number",T$2,$A69)))</f>
        <v/>
      </c>
      <c r="U69" s="34" t="str" cm="1">
        <f t="array" ref="U69">IF($A69="","",IF($J69="No","",GetMatchingValue($XFD$9,"Original","Control Number",U$2,$A69)))</f>
        <v/>
      </c>
      <c r="V69" s="14"/>
      <c r="W69" s="17"/>
      <c r="X69" s="17"/>
      <c r="Y69" s="17"/>
      <c r="Z69" s="13"/>
      <c r="AA69" s="13"/>
      <c r="AB69" s="13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3"/>
    </row>
    <row r="70" spans="1:45" ht="36" customHeight="1" x14ac:dyDescent="0.2">
      <c r="A70" s="13"/>
      <c r="B70" s="14"/>
      <c r="C70" s="15"/>
      <c r="D70" s="15"/>
      <c r="E70" s="13"/>
      <c r="F70" s="34" t="str" cm="1">
        <f t="array" ref="F70">IF($A70="","",GetMatchingValue($XFD$8,"Original","Control Number",F$2,$A70))</f>
        <v/>
      </c>
      <c r="G70" s="34" t="str" cm="1">
        <f t="array" ref="G70">IF($A70="","",GetMatchingValue($XFD$8,"Original","Control Number",G$2,$A70))</f>
        <v/>
      </c>
      <c r="H70" s="34" t="str" cm="1">
        <f t="array" ref="H70">IF($A70="","",GetMatchingValue($XFD$8,"Original","Control Number",H$2,$A70))</f>
        <v/>
      </c>
      <c r="I70" s="13"/>
      <c r="J70" s="13" t="str" cm="1">
        <f t="array" ref="J70">IF($A70="","",CheckControlNumberExists($XFD$9, "Original", $A70))</f>
        <v/>
      </c>
      <c r="K70" s="34" t="str" cm="1">
        <f t="array" ref="K70">IF($A70="","",IF($J70="No","",GetMatchingValue($XFD$9,"Original","Control Number",K$2,$A70)))</f>
        <v/>
      </c>
      <c r="L70" s="34" t="str" cm="1">
        <f t="array" ref="L70">IF($A70="","",IF($J70="No","",GetMatchingValue($XFD$9,"Original","Control Number",L$2,$A70)))</f>
        <v/>
      </c>
      <c r="M70" s="13" t="str">
        <f t="shared" ca="1" si="2"/>
        <v/>
      </c>
      <c r="N70" s="16"/>
      <c r="O70" s="34" t="str" cm="1">
        <f t="array" ref="O70">IF($A70="","",IF($J70="No","",GetMatchingValue($XFD$9,"Original","Control Number",O$2,$A70)))</f>
        <v/>
      </c>
      <c r="P70" s="34" t="str" cm="1">
        <f t="array" ref="P70">IF($A70="","",IF($J70="No","",GetMatchingValue($XFD$9,"Original","Control Number",P$2,$A70)))</f>
        <v/>
      </c>
      <c r="Q70" s="34" t="str" cm="1">
        <f t="array" ref="Q70">IF($A70="","",IF($J70="No","",GetMatchingValue($XFD$9,"Original","Control Number",Q$2,$A70)))</f>
        <v/>
      </c>
      <c r="R70" s="34" t="str" cm="1">
        <f t="array" ref="R70">IF($A70="","",IF($J70="No","",GetMatchingValue($XFD$9,"Original","Control Number",R$2,$A70)))</f>
        <v/>
      </c>
      <c r="S70" s="34" t="str" cm="1">
        <f t="array" ref="S70">IF($A70="","",IF($J70="No","",GetMatchingValue($XFD$9,"Original","Control Number",S$2,$A70)))</f>
        <v/>
      </c>
      <c r="T70" s="34" t="str" cm="1">
        <f t="array" ref="T70">IF($A70="","",IF($J70="No","",GetMatchingValue($XFD$9,"Original","Control Number",T$2,$A70)))</f>
        <v/>
      </c>
      <c r="U70" s="34" t="str" cm="1">
        <f t="array" ref="U70">IF($A70="","",IF($J70="No","",GetMatchingValue($XFD$9,"Original","Control Number",U$2,$A70)))</f>
        <v/>
      </c>
      <c r="V70" s="14"/>
      <c r="W70" s="17"/>
      <c r="X70" s="17"/>
      <c r="Y70" s="17"/>
      <c r="Z70" s="13"/>
      <c r="AA70" s="13"/>
      <c r="AB70" s="13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3"/>
    </row>
    <row r="71" spans="1:45" ht="36" customHeight="1" x14ac:dyDescent="0.2">
      <c r="A71" s="13"/>
      <c r="B71" s="14"/>
      <c r="C71" s="15"/>
      <c r="D71" s="15"/>
      <c r="E71" s="13"/>
      <c r="F71" s="34" t="str" cm="1">
        <f t="array" ref="F71">IF($A71="","",GetMatchingValue($XFD$8,"Original","Control Number",F$2,$A71))</f>
        <v/>
      </c>
      <c r="G71" s="34" t="str" cm="1">
        <f t="array" ref="G71">IF($A71="","",GetMatchingValue($XFD$8,"Original","Control Number",G$2,$A71))</f>
        <v/>
      </c>
      <c r="H71" s="34" t="str" cm="1">
        <f t="array" ref="H71">IF($A71="","",GetMatchingValue($XFD$8,"Original","Control Number",H$2,$A71))</f>
        <v/>
      </c>
      <c r="I71" s="13"/>
      <c r="J71" s="13" t="str" cm="1">
        <f t="array" ref="J71">IF($A71="","",CheckControlNumberExists($XFD$9, "Original", $A71))</f>
        <v/>
      </c>
      <c r="K71" s="34" t="str" cm="1">
        <f t="array" ref="K71">IF($A71="","",IF($J71="No","",GetMatchingValue($XFD$9,"Original","Control Number",K$2,$A71)))</f>
        <v/>
      </c>
      <c r="L71" s="34" t="str" cm="1">
        <f t="array" ref="L71">IF($A71="","",IF($J71="No","",GetMatchingValue($XFD$9,"Original","Control Number",L$2,$A71)))</f>
        <v/>
      </c>
      <c r="M71" s="13" t="str">
        <f t="shared" ca="1" si="2"/>
        <v/>
      </c>
      <c r="N71" s="16"/>
      <c r="O71" s="34" t="str" cm="1">
        <f t="array" ref="O71">IF($A71="","",IF($J71="No","",GetMatchingValue($XFD$9,"Original","Control Number",O$2,$A71)))</f>
        <v/>
      </c>
      <c r="P71" s="34" t="str" cm="1">
        <f t="array" ref="P71">IF($A71="","",IF($J71="No","",GetMatchingValue($XFD$9,"Original","Control Number",P$2,$A71)))</f>
        <v/>
      </c>
      <c r="Q71" s="34" t="str" cm="1">
        <f t="array" ref="Q71">IF($A71="","",IF($J71="No","",GetMatchingValue($XFD$9,"Original","Control Number",Q$2,$A71)))</f>
        <v/>
      </c>
      <c r="R71" s="34" t="str" cm="1">
        <f t="array" ref="R71">IF($A71="","",IF($J71="No","",GetMatchingValue($XFD$9,"Original","Control Number",R$2,$A71)))</f>
        <v/>
      </c>
      <c r="S71" s="34" t="str" cm="1">
        <f t="array" ref="S71">IF($A71="","",IF($J71="No","",GetMatchingValue($XFD$9,"Original","Control Number",S$2,$A71)))</f>
        <v/>
      </c>
      <c r="T71" s="34" t="str" cm="1">
        <f t="array" ref="T71">IF($A71="","",IF($J71="No","",GetMatchingValue($XFD$9,"Original","Control Number",T$2,$A71)))</f>
        <v/>
      </c>
      <c r="U71" s="34" t="str" cm="1">
        <f t="array" ref="U71">IF($A71="","",IF($J71="No","",GetMatchingValue($XFD$9,"Original","Control Number",U$2,$A71)))</f>
        <v/>
      </c>
      <c r="V71" s="14"/>
      <c r="W71" s="17"/>
      <c r="X71" s="17"/>
      <c r="Y71" s="17"/>
      <c r="Z71" s="13"/>
      <c r="AA71" s="13"/>
      <c r="AB71" s="13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3"/>
    </row>
    <row r="72" spans="1:45" ht="36" customHeight="1" x14ac:dyDescent="0.2">
      <c r="A72" s="13"/>
      <c r="B72" s="14"/>
      <c r="C72" s="15"/>
      <c r="D72" s="15"/>
      <c r="E72" s="13"/>
      <c r="F72" s="34" t="str" cm="1">
        <f t="array" ref="F72">IF($A72="","",GetMatchingValue($XFD$8,"Original","Control Number",F$2,$A72))</f>
        <v/>
      </c>
      <c r="G72" s="34" t="str" cm="1">
        <f t="array" ref="G72">IF($A72="","",GetMatchingValue($XFD$8,"Original","Control Number",G$2,$A72))</f>
        <v/>
      </c>
      <c r="H72" s="34" t="str" cm="1">
        <f t="array" ref="H72">IF($A72="","",GetMatchingValue($XFD$8,"Original","Control Number",H$2,$A72))</f>
        <v/>
      </c>
      <c r="I72" s="13"/>
      <c r="J72" s="13" t="str" cm="1">
        <f t="array" ref="J72">IF($A72="","",CheckControlNumberExists($XFD$9, "Original", $A72))</f>
        <v/>
      </c>
      <c r="K72" s="34" t="str" cm="1">
        <f t="array" ref="K72">IF($A72="","",IF($J72="No","",GetMatchingValue($XFD$9,"Original","Control Number",K$2,$A72)))</f>
        <v/>
      </c>
      <c r="L72" s="34" t="str" cm="1">
        <f t="array" ref="L72">IF($A72="","",IF($J72="No","",GetMatchingValue($XFD$9,"Original","Control Number",L$2,$A72)))</f>
        <v/>
      </c>
      <c r="M72" s="13" t="str">
        <f t="shared" ca="1" si="2"/>
        <v/>
      </c>
      <c r="N72" s="16"/>
      <c r="O72" s="34" t="str" cm="1">
        <f t="array" ref="O72">IF($A72="","",IF($J72="No","",GetMatchingValue($XFD$9,"Original","Control Number",O$2,$A72)))</f>
        <v/>
      </c>
      <c r="P72" s="34" t="str" cm="1">
        <f t="array" ref="P72">IF($A72="","",IF($J72="No","",GetMatchingValue($XFD$9,"Original","Control Number",P$2,$A72)))</f>
        <v/>
      </c>
      <c r="Q72" s="34" t="str" cm="1">
        <f t="array" ref="Q72">IF($A72="","",IF($J72="No","",GetMatchingValue($XFD$9,"Original","Control Number",Q$2,$A72)))</f>
        <v/>
      </c>
      <c r="R72" s="34" t="str" cm="1">
        <f t="array" ref="R72">IF($A72="","",IF($J72="No","",GetMatchingValue($XFD$9,"Original","Control Number",R$2,$A72)))</f>
        <v/>
      </c>
      <c r="S72" s="34" t="str" cm="1">
        <f t="array" ref="S72">IF($A72="","",IF($J72="No","",GetMatchingValue($XFD$9,"Original","Control Number",S$2,$A72)))</f>
        <v/>
      </c>
      <c r="T72" s="34" t="str" cm="1">
        <f t="array" ref="T72">IF($A72="","",IF($J72="No","",GetMatchingValue($XFD$9,"Original","Control Number",T$2,$A72)))</f>
        <v/>
      </c>
      <c r="U72" s="34" t="str" cm="1">
        <f t="array" ref="U72">IF($A72="","",IF($J72="No","",GetMatchingValue($XFD$9,"Original","Control Number",U$2,$A72)))</f>
        <v/>
      </c>
      <c r="V72" s="14"/>
      <c r="W72" s="17"/>
      <c r="X72" s="17"/>
      <c r="Y72" s="17"/>
      <c r="Z72" s="13"/>
      <c r="AA72" s="13"/>
      <c r="AB72" s="13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3"/>
    </row>
    <row r="73" spans="1:45" ht="36" customHeight="1" x14ac:dyDescent="0.2">
      <c r="A73" s="13"/>
      <c r="B73" s="14"/>
      <c r="C73" s="15"/>
      <c r="D73" s="15"/>
      <c r="E73" s="13"/>
      <c r="F73" s="34" t="str" cm="1">
        <f t="array" ref="F73">IF($A73="","",GetMatchingValue($XFD$8,"Original","Control Number",F$2,$A73))</f>
        <v/>
      </c>
      <c r="G73" s="34" t="str" cm="1">
        <f t="array" ref="G73">IF($A73="","",GetMatchingValue($XFD$8,"Original","Control Number",G$2,$A73))</f>
        <v/>
      </c>
      <c r="H73" s="34" t="str" cm="1">
        <f t="array" ref="H73">IF($A73="","",GetMatchingValue($XFD$8,"Original","Control Number",H$2,$A73))</f>
        <v/>
      </c>
      <c r="I73" s="13"/>
      <c r="J73" s="13" t="str" cm="1">
        <f t="array" ref="J73">IF($A73="","",CheckControlNumberExists($XFD$9, "Original", $A73))</f>
        <v/>
      </c>
      <c r="K73" s="34" t="str" cm="1">
        <f t="array" ref="K73">IF($A73="","",IF($J73="No","",GetMatchingValue($XFD$9,"Original","Control Number",K$2,$A73)))</f>
        <v/>
      </c>
      <c r="L73" s="34" t="str" cm="1">
        <f t="array" ref="L73">IF($A73="","",IF($J73="No","",GetMatchingValue($XFD$9,"Original","Control Number",L$2,$A73)))</f>
        <v/>
      </c>
      <c r="M73" s="13" t="str">
        <f t="shared" ref="M73:M136" ca="1" si="3">IFERROR(INDEX(
    INDIRECT($XFD$7 &amp; ADDRESS(2, MATCH(M$2, INDIRECT($XFD$7 &amp; "1:1"), 0)) &amp; ":" &amp; ADDRESS(65536, MATCH(M$2, INDIRECT($XFD$7 &amp; "1:1"), 0))),
    MATCH($A73, INDIRECT($XFD$7 &amp; ADDRESS(2, MATCH("Control Number", INDIRECT($XFD$7 &amp; "1:1"), 0)) &amp; ":" &amp; ADDRESS(65536, MATCH("Control Number", INDIRECT($XFD$7 &amp; "1:1"), 0))), 0)
),"")</f>
        <v/>
      </c>
      <c r="N73" s="16"/>
      <c r="O73" s="34" t="str" cm="1">
        <f t="array" ref="O73">IF($A73="","",IF($J73="No","",GetMatchingValue($XFD$9,"Original","Control Number",O$2,$A73)))</f>
        <v/>
      </c>
      <c r="P73" s="34" t="str" cm="1">
        <f t="array" ref="P73">IF($A73="","",IF($J73="No","",GetMatchingValue($XFD$9,"Original","Control Number",P$2,$A73)))</f>
        <v/>
      </c>
      <c r="Q73" s="34" t="str" cm="1">
        <f t="array" ref="Q73">IF($A73="","",IF($J73="No","",GetMatchingValue($XFD$9,"Original","Control Number",Q$2,$A73)))</f>
        <v/>
      </c>
      <c r="R73" s="34" t="str" cm="1">
        <f t="array" ref="R73">IF($A73="","",IF($J73="No","",GetMatchingValue($XFD$9,"Original","Control Number",R$2,$A73)))</f>
        <v/>
      </c>
      <c r="S73" s="34" t="str" cm="1">
        <f t="array" ref="S73">IF($A73="","",IF($J73="No","",GetMatchingValue($XFD$9,"Original","Control Number",S$2,$A73)))</f>
        <v/>
      </c>
      <c r="T73" s="34" t="str" cm="1">
        <f t="array" ref="T73">IF($A73="","",IF($J73="No","",GetMatchingValue($XFD$9,"Original","Control Number",T$2,$A73)))</f>
        <v/>
      </c>
      <c r="U73" s="34" t="str" cm="1">
        <f t="array" ref="U73">IF($A73="","",IF($J73="No","",GetMatchingValue($XFD$9,"Original","Control Number",U$2,$A73)))</f>
        <v/>
      </c>
      <c r="V73" s="14"/>
      <c r="W73" s="17"/>
      <c r="X73" s="17"/>
      <c r="Y73" s="17"/>
      <c r="Z73" s="13"/>
      <c r="AA73" s="13"/>
      <c r="AB73" s="13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3"/>
    </row>
    <row r="74" spans="1:45" ht="36" customHeight="1" x14ac:dyDescent="0.2">
      <c r="A74" s="13"/>
      <c r="B74" s="14"/>
      <c r="C74" s="15"/>
      <c r="D74" s="15"/>
      <c r="E74" s="13"/>
      <c r="F74" s="34" t="str" cm="1">
        <f t="array" ref="F74">IF($A74="","",GetMatchingValue($XFD$8,"Original","Control Number",F$2,$A74))</f>
        <v/>
      </c>
      <c r="G74" s="34" t="str" cm="1">
        <f t="array" ref="G74">IF($A74="","",GetMatchingValue($XFD$8,"Original","Control Number",G$2,$A74))</f>
        <v/>
      </c>
      <c r="H74" s="34" t="str" cm="1">
        <f t="array" ref="H74">IF($A74="","",GetMatchingValue($XFD$8,"Original","Control Number",H$2,$A74))</f>
        <v/>
      </c>
      <c r="I74" s="13"/>
      <c r="J74" s="13" t="str" cm="1">
        <f t="array" ref="J74">IF($A74="","",CheckControlNumberExists($XFD$9, "Original", $A74))</f>
        <v/>
      </c>
      <c r="K74" s="34" t="str" cm="1">
        <f t="array" ref="K74">IF($A74="","",IF($J74="No","",GetMatchingValue($XFD$9,"Original","Control Number",K$2,$A74)))</f>
        <v/>
      </c>
      <c r="L74" s="34" t="str" cm="1">
        <f t="array" ref="L74">IF($A74="","",IF($J74="No","",GetMatchingValue($XFD$9,"Original","Control Number",L$2,$A74)))</f>
        <v/>
      </c>
      <c r="M74" s="13" t="str">
        <f t="shared" ca="1" si="3"/>
        <v/>
      </c>
      <c r="N74" s="16"/>
      <c r="O74" s="34" t="str" cm="1">
        <f t="array" ref="O74">IF($A74="","",IF($J74="No","",GetMatchingValue($XFD$9,"Original","Control Number",O$2,$A74)))</f>
        <v/>
      </c>
      <c r="P74" s="34" t="str" cm="1">
        <f t="array" ref="P74">IF($A74="","",IF($J74="No","",GetMatchingValue($XFD$9,"Original","Control Number",P$2,$A74)))</f>
        <v/>
      </c>
      <c r="Q74" s="34" t="str" cm="1">
        <f t="array" ref="Q74">IF($A74="","",IF($J74="No","",GetMatchingValue($XFD$9,"Original","Control Number",Q$2,$A74)))</f>
        <v/>
      </c>
      <c r="R74" s="34" t="str" cm="1">
        <f t="array" ref="R74">IF($A74="","",IF($J74="No","",GetMatchingValue($XFD$9,"Original","Control Number",R$2,$A74)))</f>
        <v/>
      </c>
      <c r="S74" s="34" t="str" cm="1">
        <f t="array" ref="S74">IF($A74="","",IF($J74="No","",GetMatchingValue($XFD$9,"Original","Control Number",S$2,$A74)))</f>
        <v/>
      </c>
      <c r="T74" s="34" t="str" cm="1">
        <f t="array" ref="T74">IF($A74="","",IF($J74="No","",GetMatchingValue($XFD$9,"Original","Control Number",T$2,$A74)))</f>
        <v/>
      </c>
      <c r="U74" s="34" t="str" cm="1">
        <f t="array" ref="U74">IF($A74="","",IF($J74="No","",GetMatchingValue($XFD$9,"Original","Control Number",U$2,$A74)))</f>
        <v/>
      </c>
      <c r="V74" s="14"/>
      <c r="W74" s="17"/>
      <c r="X74" s="17"/>
      <c r="Y74" s="17"/>
      <c r="Z74" s="13"/>
      <c r="AA74" s="13"/>
      <c r="AB74" s="13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3"/>
    </row>
    <row r="75" spans="1:45" ht="36" customHeight="1" x14ac:dyDescent="0.2">
      <c r="A75" s="13"/>
      <c r="B75" s="14"/>
      <c r="C75" s="15"/>
      <c r="D75" s="15"/>
      <c r="E75" s="13"/>
      <c r="F75" s="34" t="str" cm="1">
        <f t="array" ref="F75">IF($A75="","",GetMatchingValue($XFD$8,"Original","Control Number",F$2,$A75))</f>
        <v/>
      </c>
      <c r="G75" s="34" t="str" cm="1">
        <f t="array" ref="G75">IF($A75="","",GetMatchingValue($XFD$8,"Original","Control Number",G$2,$A75))</f>
        <v/>
      </c>
      <c r="H75" s="34" t="str" cm="1">
        <f t="array" ref="H75">IF($A75="","",GetMatchingValue($XFD$8,"Original","Control Number",H$2,$A75))</f>
        <v/>
      </c>
      <c r="I75" s="13"/>
      <c r="J75" s="13" t="str" cm="1">
        <f t="array" ref="J75">IF($A75="","",CheckControlNumberExists($XFD$9, "Original", $A75))</f>
        <v/>
      </c>
      <c r="K75" s="34" t="str" cm="1">
        <f t="array" ref="K75">IF($A75="","",IF($J75="No","",GetMatchingValue($XFD$9,"Original","Control Number",K$2,$A75)))</f>
        <v/>
      </c>
      <c r="L75" s="34" t="str" cm="1">
        <f t="array" ref="L75">IF($A75="","",IF($J75="No","",GetMatchingValue($XFD$9,"Original","Control Number",L$2,$A75)))</f>
        <v/>
      </c>
      <c r="M75" s="13" t="str">
        <f t="shared" ca="1" si="3"/>
        <v/>
      </c>
      <c r="N75" s="16"/>
      <c r="O75" s="34" t="str" cm="1">
        <f t="array" ref="O75">IF($A75="","",IF($J75="No","",GetMatchingValue($XFD$9,"Original","Control Number",O$2,$A75)))</f>
        <v/>
      </c>
      <c r="P75" s="34" t="str" cm="1">
        <f t="array" ref="P75">IF($A75="","",IF($J75="No","",GetMatchingValue($XFD$9,"Original","Control Number",P$2,$A75)))</f>
        <v/>
      </c>
      <c r="Q75" s="34" t="str" cm="1">
        <f t="array" ref="Q75">IF($A75="","",IF($J75="No","",GetMatchingValue($XFD$9,"Original","Control Number",Q$2,$A75)))</f>
        <v/>
      </c>
      <c r="R75" s="34" t="str" cm="1">
        <f t="array" ref="R75">IF($A75="","",IF($J75="No","",GetMatchingValue($XFD$9,"Original","Control Number",R$2,$A75)))</f>
        <v/>
      </c>
      <c r="S75" s="34" t="str" cm="1">
        <f t="array" ref="S75">IF($A75="","",IF($J75="No","",GetMatchingValue($XFD$9,"Original","Control Number",S$2,$A75)))</f>
        <v/>
      </c>
      <c r="T75" s="34" t="str" cm="1">
        <f t="array" ref="T75">IF($A75="","",IF($J75="No","",GetMatchingValue($XFD$9,"Original","Control Number",T$2,$A75)))</f>
        <v/>
      </c>
      <c r="U75" s="34" t="str" cm="1">
        <f t="array" ref="U75">IF($A75="","",IF($J75="No","",GetMatchingValue($XFD$9,"Original","Control Number",U$2,$A75)))</f>
        <v/>
      </c>
      <c r="V75" s="14"/>
      <c r="W75" s="17"/>
      <c r="X75" s="17"/>
      <c r="Y75" s="17"/>
      <c r="Z75" s="13"/>
      <c r="AA75" s="13"/>
      <c r="AB75" s="13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3"/>
    </row>
    <row r="76" spans="1:45" ht="36" customHeight="1" x14ac:dyDescent="0.2">
      <c r="A76" s="13"/>
      <c r="B76" s="14"/>
      <c r="C76" s="15"/>
      <c r="D76" s="15"/>
      <c r="E76" s="13"/>
      <c r="F76" s="34" t="str" cm="1">
        <f t="array" ref="F76">IF($A76="","",GetMatchingValue($XFD$8,"Original","Control Number",F$2,$A76))</f>
        <v/>
      </c>
      <c r="G76" s="34" t="str" cm="1">
        <f t="array" ref="G76">IF($A76="","",GetMatchingValue($XFD$8,"Original","Control Number",G$2,$A76))</f>
        <v/>
      </c>
      <c r="H76" s="34" t="str" cm="1">
        <f t="array" ref="H76">IF($A76="","",GetMatchingValue($XFD$8,"Original","Control Number",H$2,$A76))</f>
        <v/>
      </c>
      <c r="I76" s="13"/>
      <c r="J76" s="13" t="str" cm="1">
        <f t="array" ref="J76">IF($A76="","",CheckControlNumberExists($XFD$9, "Original", $A76))</f>
        <v/>
      </c>
      <c r="K76" s="34" t="str" cm="1">
        <f t="array" ref="K76">IF($A76="","",IF($J76="No","",GetMatchingValue($XFD$9,"Original","Control Number",K$2,$A76)))</f>
        <v/>
      </c>
      <c r="L76" s="34" t="str" cm="1">
        <f t="array" ref="L76">IF($A76="","",IF($J76="No","",GetMatchingValue($XFD$9,"Original","Control Number",L$2,$A76)))</f>
        <v/>
      </c>
      <c r="M76" s="13" t="str">
        <f t="shared" ca="1" si="3"/>
        <v/>
      </c>
      <c r="N76" s="16"/>
      <c r="O76" s="34" t="str" cm="1">
        <f t="array" ref="O76">IF($A76="","",IF($J76="No","",GetMatchingValue($XFD$9,"Original","Control Number",O$2,$A76)))</f>
        <v/>
      </c>
      <c r="P76" s="34" t="str" cm="1">
        <f t="array" ref="P76">IF($A76="","",IF($J76="No","",GetMatchingValue($XFD$9,"Original","Control Number",P$2,$A76)))</f>
        <v/>
      </c>
      <c r="Q76" s="34" t="str" cm="1">
        <f t="array" ref="Q76">IF($A76="","",IF($J76="No","",GetMatchingValue($XFD$9,"Original","Control Number",Q$2,$A76)))</f>
        <v/>
      </c>
      <c r="R76" s="34" t="str" cm="1">
        <f t="array" ref="R76">IF($A76="","",IF($J76="No","",GetMatchingValue($XFD$9,"Original","Control Number",R$2,$A76)))</f>
        <v/>
      </c>
      <c r="S76" s="34" t="str" cm="1">
        <f t="array" ref="S76">IF($A76="","",IF($J76="No","",GetMatchingValue($XFD$9,"Original","Control Number",S$2,$A76)))</f>
        <v/>
      </c>
      <c r="T76" s="34" t="str" cm="1">
        <f t="array" ref="T76">IF($A76="","",IF($J76="No","",GetMatchingValue($XFD$9,"Original","Control Number",T$2,$A76)))</f>
        <v/>
      </c>
      <c r="U76" s="34" t="str" cm="1">
        <f t="array" ref="U76">IF($A76="","",IF($J76="No","",GetMatchingValue($XFD$9,"Original","Control Number",U$2,$A76)))</f>
        <v/>
      </c>
      <c r="V76" s="14"/>
      <c r="W76" s="17"/>
      <c r="X76" s="17"/>
      <c r="Y76" s="17"/>
      <c r="Z76" s="13"/>
      <c r="AA76" s="13"/>
      <c r="AB76" s="13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3"/>
    </row>
    <row r="77" spans="1:45" ht="36" customHeight="1" x14ac:dyDescent="0.2">
      <c r="A77" s="13"/>
      <c r="B77" s="14"/>
      <c r="C77" s="15"/>
      <c r="D77" s="15"/>
      <c r="E77" s="13"/>
      <c r="F77" s="34" t="str" cm="1">
        <f t="array" ref="F77">IF($A77="","",GetMatchingValue($XFD$8,"Original","Control Number",F$2,$A77))</f>
        <v/>
      </c>
      <c r="G77" s="34" t="str" cm="1">
        <f t="array" ref="G77">IF($A77="","",GetMatchingValue($XFD$8,"Original","Control Number",G$2,$A77))</f>
        <v/>
      </c>
      <c r="H77" s="34" t="str" cm="1">
        <f t="array" ref="H77">IF($A77="","",GetMatchingValue($XFD$8,"Original","Control Number",H$2,$A77))</f>
        <v/>
      </c>
      <c r="I77" s="13"/>
      <c r="J77" s="13" t="str" cm="1">
        <f t="array" ref="J77">IF($A77="","",CheckControlNumberExists($XFD$9, "Original", $A77))</f>
        <v/>
      </c>
      <c r="K77" s="34" t="str" cm="1">
        <f t="array" ref="K77">IF($A77="","",IF($J77="No","",GetMatchingValue($XFD$9,"Original","Control Number",K$2,$A77)))</f>
        <v/>
      </c>
      <c r="L77" s="34" t="str" cm="1">
        <f t="array" ref="L77">IF($A77="","",IF($J77="No","",GetMatchingValue($XFD$9,"Original","Control Number",L$2,$A77)))</f>
        <v/>
      </c>
      <c r="M77" s="13" t="str">
        <f t="shared" ca="1" si="3"/>
        <v/>
      </c>
      <c r="N77" s="16"/>
      <c r="O77" s="34" t="str" cm="1">
        <f t="array" ref="O77">IF($A77="","",IF($J77="No","",GetMatchingValue($XFD$9,"Original","Control Number",O$2,$A77)))</f>
        <v/>
      </c>
      <c r="P77" s="34" t="str" cm="1">
        <f t="array" ref="P77">IF($A77="","",IF($J77="No","",GetMatchingValue($XFD$9,"Original","Control Number",P$2,$A77)))</f>
        <v/>
      </c>
      <c r="Q77" s="34" t="str" cm="1">
        <f t="array" ref="Q77">IF($A77="","",IF($J77="No","",GetMatchingValue($XFD$9,"Original","Control Number",Q$2,$A77)))</f>
        <v/>
      </c>
      <c r="R77" s="34" t="str" cm="1">
        <f t="array" ref="R77">IF($A77="","",IF($J77="No","",GetMatchingValue($XFD$9,"Original","Control Number",R$2,$A77)))</f>
        <v/>
      </c>
      <c r="S77" s="34" t="str" cm="1">
        <f t="array" ref="S77">IF($A77="","",IF($J77="No","",GetMatchingValue($XFD$9,"Original","Control Number",S$2,$A77)))</f>
        <v/>
      </c>
      <c r="T77" s="34" t="str" cm="1">
        <f t="array" ref="T77">IF($A77="","",IF($J77="No","",GetMatchingValue($XFD$9,"Original","Control Number",T$2,$A77)))</f>
        <v/>
      </c>
      <c r="U77" s="34" t="str" cm="1">
        <f t="array" ref="U77">IF($A77="","",IF($J77="No","",GetMatchingValue($XFD$9,"Original","Control Number",U$2,$A77)))</f>
        <v/>
      </c>
      <c r="V77" s="14"/>
      <c r="W77" s="17"/>
      <c r="X77" s="17"/>
      <c r="Y77" s="17"/>
      <c r="Z77" s="13"/>
      <c r="AA77" s="13"/>
      <c r="AB77" s="13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3"/>
    </row>
    <row r="78" spans="1:45" ht="36" customHeight="1" x14ac:dyDescent="0.2">
      <c r="A78" s="13"/>
      <c r="B78" s="14"/>
      <c r="C78" s="15"/>
      <c r="D78" s="15"/>
      <c r="E78" s="13"/>
      <c r="F78" s="34" t="str" cm="1">
        <f t="array" ref="F78">IF($A78="","",GetMatchingValue($XFD$8,"Original","Control Number",F$2,$A78))</f>
        <v/>
      </c>
      <c r="G78" s="34" t="str" cm="1">
        <f t="array" ref="G78">IF($A78="","",GetMatchingValue($XFD$8,"Original","Control Number",G$2,$A78))</f>
        <v/>
      </c>
      <c r="H78" s="34" t="str" cm="1">
        <f t="array" ref="H78">IF($A78="","",GetMatchingValue($XFD$8,"Original","Control Number",H$2,$A78))</f>
        <v/>
      </c>
      <c r="I78" s="13"/>
      <c r="J78" s="13" t="str" cm="1">
        <f t="array" ref="J78">IF($A78="","",CheckControlNumberExists($XFD$9, "Original", $A78))</f>
        <v/>
      </c>
      <c r="K78" s="34" t="str" cm="1">
        <f t="array" ref="K78">IF($A78="","",IF($J78="No","",GetMatchingValue($XFD$9,"Original","Control Number",K$2,$A78)))</f>
        <v/>
      </c>
      <c r="L78" s="34" t="str" cm="1">
        <f t="array" ref="L78">IF($A78="","",IF($J78="No","",GetMatchingValue($XFD$9,"Original","Control Number",L$2,$A78)))</f>
        <v/>
      </c>
      <c r="M78" s="13" t="str">
        <f t="shared" ca="1" si="3"/>
        <v/>
      </c>
      <c r="N78" s="16"/>
      <c r="O78" s="34" t="str" cm="1">
        <f t="array" ref="O78">IF($A78="","",IF($J78="No","",GetMatchingValue($XFD$9,"Original","Control Number",O$2,$A78)))</f>
        <v/>
      </c>
      <c r="P78" s="34" t="str" cm="1">
        <f t="array" ref="P78">IF($A78="","",IF($J78="No","",GetMatchingValue($XFD$9,"Original","Control Number",P$2,$A78)))</f>
        <v/>
      </c>
      <c r="Q78" s="34" t="str" cm="1">
        <f t="array" ref="Q78">IF($A78="","",IF($J78="No","",GetMatchingValue($XFD$9,"Original","Control Number",Q$2,$A78)))</f>
        <v/>
      </c>
      <c r="R78" s="34" t="str" cm="1">
        <f t="array" ref="R78">IF($A78="","",IF($J78="No","",GetMatchingValue($XFD$9,"Original","Control Number",R$2,$A78)))</f>
        <v/>
      </c>
      <c r="S78" s="34" t="str" cm="1">
        <f t="array" ref="S78">IF($A78="","",IF($J78="No","",GetMatchingValue($XFD$9,"Original","Control Number",S$2,$A78)))</f>
        <v/>
      </c>
      <c r="T78" s="34" t="str" cm="1">
        <f t="array" ref="T78">IF($A78="","",IF($J78="No","",GetMatchingValue($XFD$9,"Original","Control Number",T$2,$A78)))</f>
        <v/>
      </c>
      <c r="U78" s="34" t="str" cm="1">
        <f t="array" ref="U78">IF($A78="","",IF($J78="No","",GetMatchingValue($XFD$9,"Original","Control Number",U$2,$A78)))</f>
        <v/>
      </c>
      <c r="V78" s="14"/>
      <c r="W78" s="17"/>
      <c r="X78" s="17"/>
      <c r="Y78" s="17"/>
      <c r="Z78" s="13"/>
      <c r="AA78" s="13"/>
      <c r="AB78" s="13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3"/>
    </row>
    <row r="79" spans="1:45" ht="36" customHeight="1" x14ac:dyDescent="0.2">
      <c r="A79" s="13"/>
      <c r="B79" s="14"/>
      <c r="C79" s="15"/>
      <c r="D79" s="15"/>
      <c r="E79" s="13"/>
      <c r="F79" s="34" t="str" cm="1">
        <f t="array" ref="F79">IF($A79="","",GetMatchingValue($XFD$8,"Original","Control Number",F$2,$A79))</f>
        <v/>
      </c>
      <c r="G79" s="34" t="str" cm="1">
        <f t="array" ref="G79">IF($A79="","",GetMatchingValue($XFD$8,"Original","Control Number",G$2,$A79))</f>
        <v/>
      </c>
      <c r="H79" s="34" t="str" cm="1">
        <f t="array" ref="H79">IF($A79="","",GetMatchingValue($XFD$8,"Original","Control Number",H$2,$A79))</f>
        <v/>
      </c>
      <c r="I79" s="13"/>
      <c r="J79" s="13" t="str" cm="1">
        <f t="array" ref="J79">IF($A79="","",CheckControlNumberExists($XFD$9, "Original", $A79))</f>
        <v/>
      </c>
      <c r="K79" s="34" t="str" cm="1">
        <f t="array" ref="K79">IF($A79="","",IF($J79="No","",GetMatchingValue($XFD$9,"Original","Control Number",K$2,$A79)))</f>
        <v/>
      </c>
      <c r="L79" s="34" t="str" cm="1">
        <f t="array" ref="L79">IF($A79="","",IF($J79="No","",GetMatchingValue($XFD$9,"Original","Control Number",L$2,$A79)))</f>
        <v/>
      </c>
      <c r="M79" s="13" t="str">
        <f t="shared" ca="1" si="3"/>
        <v/>
      </c>
      <c r="N79" s="16"/>
      <c r="O79" s="34" t="str" cm="1">
        <f t="array" ref="O79">IF($A79="","",IF($J79="No","",GetMatchingValue($XFD$9,"Original","Control Number",O$2,$A79)))</f>
        <v/>
      </c>
      <c r="P79" s="34" t="str" cm="1">
        <f t="array" ref="P79">IF($A79="","",IF($J79="No","",GetMatchingValue($XFD$9,"Original","Control Number",P$2,$A79)))</f>
        <v/>
      </c>
      <c r="Q79" s="34" t="str" cm="1">
        <f t="array" ref="Q79">IF($A79="","",IF($J79="No","",GetMatchingValue($XFD$9,"Original","Control Number",Q$2,$A79)))</f>
        <v/>
      </c>
      <c r="R79" s="34" t="str" cm="1">
        <f t="array" ref="R79">IF($A79="","",IF($J79="No","",GetMatchingValue($XFD$9,"Original","Control Number",R$2,$A79)))</f>
        <v/>
      </c>
      <c r="S79" s="34" t="str" cm="1">
        <f t="array" ref="S79">IF($A79="","",IF($J79="No","",GetMatchingValue($XFD$9,"Original","Control Number",S$2,$A79)))</f>
        <v/>
      </c>
      <c r="T79" s="34" t="str" cm="1">
        <f t="array" ref="T79">IF($A79="","",IF($J79="No","",GetMatchingValue($XFD$9,"Original","Control Number",T$2,$A79)))</f>
        <v/>
      </c>
      <c r="U79" s="34" t="str" cm="1">
        <f t="array" ref="U79">IF($A79="","",IF($J79="No","",GetMatchingValue($XFD$9,"Original","Control Number",U$2,$A79)))</f>
        <v/>
      </c>
      <c r="V79" s="14"/>
      <c r="W79" s="17"/>
      <c r="X79" s="17"/>
      <c r="Y79" s="17"/>
      <c r="Z79" s="13"/>
      <c r="AA79" s="13"/>
      <c r="AB79" s="13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3"/>
    </row>
    <row r="80" spans="1:45" ht="36" customHeight="1" x14ac:dyDescent="0.2">
      <c r="A80" s="13"/>
      <c r="B80" s="14"/>
      <c r="C80" s="15"/>
      <c r="D80" s="15"/>
      <c r="E80" s="13"/>
      <c r="F80" s="34" t="str" cm="1">
        <f t="array" ref="F80">IF($A80="","",GetMatchingValue($XFD$8,"Original","Control Number",F$2,$A80))</f>
        <v/>
      </c>
      <c r="G80" s="34" t="str" cm="1">
        <f t="array" ref="G80">IF($A80="","",GetMatchingValue($XFD$8,"Original","Control Number",G$2,$A80))</f>
        <v/>
      </c>
      <c r="H80" s="34" t="str" cm="1">
        <f t="array" ref="H80">IF($A80="","",GetMatchingValue($XFD$8,"Original","Control Number",H$2,$A80))</f>
        <v/>
      </c>
      <c r="I80" s="13"/>
      <c r="J80" s="13" t="str" cm="1">
        <f t="array" ref="J80">IF($A80="","",CheckControlNumberExists($XFD$9, "Original", $A80))</f>
        <v/>
      </c>
      <c r="K80" s="34" t="str" cm="1">
        <f t="array" ref="K80">IF($A80="","",IF($J80="No","",GetMatchingValue($XFD$9,"Original","Control Number",K$2,$A80)))</f>
        <v/>
      </c>
      <c r="L80" s="34" t="str" cm="1">
        <f t="array" ref="L80">IF($A80="","",IF($J80="No","",GetMatchingValue($XFD$9,"Original","Control Number",L$2,$A80)))</f>
        <v/>
      </c>
      <c r="M80" s="13" t="str">
        <f t="shared" ca="1" si="3"/>
        <v/>
      </c>
      <c r="N80" s="16"/>
      <c r="O80" s="34" t="str" cm="1">
        <f t="array" ref="O80">IF($A80="","",IF($J80="No","",GetMatchingValue($XFD$9,"Original","Control Number",O$2,$A80)))</f>
        <v/>
      </c>
      <c r="P80" s="34" t="str" cm="1">
        <f t="array" ref="P80">IF($A80="","",IF($J80="No","",GetMatchingValue($XFD$9,"Original","Control Number",P$2,$A80)))</f>
        <v/>
      </c>
      <c r="Q80" s="34" t="str" cm="1">
        <f t="array" ref="Q80">IF($A80="","",IF($J80="No","",GetMatchingValue($XFD$9,"Original","Control Number",Q$2,$A80)))</f>
        <v/>
      </c>
      <c r="R80" s="34" t="str" cm="1">
        <f t="array" ref="R80">IF($A80="","",IF($J80="No","",GetMatchingValue($XFD$9,"Original","Control Number",R$2,$A80)))</f>
        <v/>
      </c>
      <c r="S80" s="34" t="str" cm="1">
        <f t="array" ref="S80">IF($A80="","",IF($J80="No","",GetMatchingValue($XFD$9,"Original","Control Number",S$2,$A80)))</f>
        <v/>
      </c>
      <c r="T80" s="34" t="str" cm="1">
        <f t="array" ref="T80">IF($A80="","",IF($J80="No","",GetMatchingValue($XFD$9,"Original","Control Number",T$2,$A80)))</f>
        <v/>
      </c>
      <c r="U80" s="34" t="str" cm="1">
        <f t="array" ref="U80">IF($A80="","",IF($J80="No","",GetMatchingValue($XFD$9,"Original","Control Number",U$2,$A80)))</f>
        <v/>
      </c>
      <c r="V80" s="14"/>
      <c r="W80" s="17"/>
      <c r="X80" s="17"/>
      <c r="Y80" s="17"/>
      <c r="Z80" s="13"/>
      <c r="AA80" s="13"/>
      <c r="AB80" s="13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3"/>
    </row>
    <row r="81" spans="1:45" ht="36" customHeight="1" x14ac:dyDescent="0.2">
      <c r="A81" s="13"/>
      <c r="B81" s="14"/>
      <c r="C81" s="15"/>
      <c r="D81" s="15"/>
      <c r="E81" s="13"/>
      <c r="F81" s="34" t="str" cm="1">
        <f t="array" ref="F81">IF($A81="","",GetMatchingValue($XFD$8,"Original","Control Number",F$2,$A81))</f>
        <v/>
      </c>
      <c r="G81" s="34" t="str" cm="1">
        <f t="array" ref="G81">IF($A81="","",GetMatchingValue($XFD$8,"Original","Control Number",G$2,$A81))</f>
        <v/>
      </c>
      <c r="H81" s="34" t="str" cm="1">
        <f t="array" ref="H81">IF($A81="","",GetMatchingValue($XFD$8,"Original","Control Number",H$2,$A81))</f>
        <v/>
      </c>
      <c r="I81" s="13"/>
      <c r="J81" s="13" t="str" cm="1">
        <f t="array" ref="J81">IF($A81="","",CheckControlNumberExists($XFD$9, "Original", $A81))</f>
        <v/>
      </c>
      <c r="K81" s="34" t="str" cm="1">
        <f t="array" ref="K81">IF($A81="","",IF($J81="No","",GetMatchingValue($XFD$9,"Original","Control Number",K$2,$A81)))</f>
        <v/>
      </c>
      <c r="L81" s="34" t="str" cm="1">
        <f t="array" ref="L81">IF($A81="","",IF($J81="No","",GetMatchingValue($XFD$9,"Original","Control Number",L$2,$A81)))</f>
        <v/>
      </c>
      <c r="M81" s="13" t="str">
        <f t="shared" ca="1" si="3"/>
        <v/>
      </c>
      <c r="N81" s="16"/>
      <c r="O81" s="34" t="str" cm="1">
        <f t="array" ref="O81">IF($A81="","",IF($J81="No","",GetMatchingValue($XFD$9,"Original","Control Number",O$2,$A81)))</f>
        <v/>
      </c>
      <c r="P81" s="34" t="str" cm="1">
        <f t="array" ref="P81">IF($A81="","",IF($J81="No","",GetMatchingValue($XFD$9,"Original","Control Number",P$2,$A81)))</f>
        <v/>
      </c>
      <c r="Q81" s="34" t="str" cm="1">
        <f t="array" ref="Q81">IF($A81="","",IF($J81="No","",GetMatchingValue($XFD$9,"Original","Control Number",Q$2,$A81)))</f>
        <v/>
      </c>
      <c r="R81" s="34" t="str" cm="1">
        <f t="array" ref="R81">IF($A81="","",IF($J81="No","",GetMatchingValue($XFD$9,"Original","Control Number",R$2,$A81)))</f>
        <v/>
      </c>
      <c r="S81" s="34" t="str" cm="1">
        <f t="array" ref="S81">IF($A81="","",IF($J81="No","",GetMatchingValue($XFD$9,"Original","Control Number",S$2,$A81)))</f>
        <v/>
      </c>
      <c r="T81" s="34" t="str" cm="1">
        <f t="array" ref="T81">IF($A81="","",IF($J81="No","",GetMatchingValue($XFD$9,"Original","Control Number",T$2,$A81)))</f>
        <v/>
      </c>
      <c r="U81" s="34" t="str" cm="1">
        <f t="array" ref="U81">IF($A81="","",IF($J81="No","",GetMatchingValue($XFD$9,"Original","Control Number",U$2,$A81)))</f>
        <v/>
      </c>
      <c r="V81" s="14"/>
      <c r="W81" s="17"/>
      <c r="X81" s="17"/>
      <c r="Y81" s="17"/>
      <c r="Z81" s="13"/>
      <c r="AA81" s="13"/>
      <c r="AB81" s="13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3"/>
    </row>
    <row r="82" spans="1:45" ht="36" customHeight="1" x14ac:dyDescent="0.2">
      <c r="A82" s="13"/>
      <c r="B82" s="14"/>
      <c r="C82" s="15"/>
      <c r="D82" s="15"/>
      <c r="E82" s="13"/>
      <c r="F82" s="34" t="str" cm="1">
        <f t="array" ref="F82">IF($A82="","",GetMatchingValue($XFD$8,"Original","Control Number",F$2,$A82))</f>
        <v/>
      </c>
      <c r="G82" s="34" t="str" cm="1">
        <f t="array" ref="G82">IF($A82="","",GetMatchingValue($XFD$8,"Original","Control Number",G$2,$A82))</f>
        <v/>
      </c>
      <c r="H82" s="34" t="str" cm="1">
        <f t="array" ref="H82">IF($A82="","",GetMatchingValue($XFD$8,"Original","Control Number",H$2,$A82))</f>
        <v/>
      </c>
      <c r="I82" s="13"/>
      <c r="J82" s="13" t="str" cm="1">
        <f t="array" ref="J82">IF($A82="","",CheckControlNumberExists($XFD$9, "Original", $A82))</f>
        <v/>
      </c>
      <c r="K82" s="34" t="str" cm="1">
        <f t="array" ref="K82">IF($A82="","",IF($J82="No","",GetMatchingValue($XFD$9,"Original","Control Number",K$2,$A82)))</f>
        <v/>
      </c>
      <c r="L82" s="34" t="str" cm="1">
        <f t="array" ref="L82">IF($A82="","",IF($J82="No","",GetMatchingValue($XFD$9,"Original","Control Number",L$2,$A82)))</f>
        <v/>
      </c>
      <c r="M82" s="13" t="str">
        <f t="shared" ca="1" si="3"/>
        <v/>
      </c>
      <c r="N82" s="16"/>
      <c r="O82" s="34" t="str" cm="1">
        <f t="array" ref="O82">IF($A82="","",IF($J82="No","",GetMatchingValue($XFD$9,"Original","Control Number",O$2,$A82)))</f>
        <v/>
      </c>
      <c r="P82" s="34" t="str" cm="1">
        <f t="array" ref="P82">IF($A82="","",IF($J82="No","",GetMatchingValue($XFD$9,"Original","Control Number",P$2,$A82)))</f>
        <v/>
      </c>
      <c r="Q82" s="34" t="str" cm="1">
        <f t="array" ref="Q82">IF($A82="","",IF($J82="No","",GetMatchingValue($XFD$9,"Original","Control Number",Q$2,$A82)))</f>
        <v/>
      </c>
      <c r="R82" s="34" t="str" cm="1">
        <f t="array" ref="R82">IF($A82="","",IF($J82="No","",GetMatchingValue($XFD$9,"Original","Control Number",R$2,$A82)))</f>
        <v/>
      </c>
      <c r="S82" s="34" t="str" cm="1">
        <f t="array" ref="S82">IF($A82="","",IF($J82="No","",GetMatchingValue($XFD$9,"Original","Control Number",S$2,$A82)))</f>
        <v/>
      </c>
      <c r="T82" s="34" t="str" cm="1">
        <f t="array" ref="T82">IF($A82="","",IF($J82="No","",GetMatchingValue($XFD$9,"Original","Control Number",T$2,$A82)))</f>
        <v/>
      </c>
      <c r="U82" s="34" t="str" cm="1">
        <f t="array" ref="U82">IF($A82="","",IF($J82="No","",GetMatchingValue($XFD$9,"Original","Control Number",U$2,$A82)))</f>
        <v/>
      </c>
      <c r="V82" s="14"/>
      <c r="W82" s="17"/>
      <c r="X82" s="17"/>
      <c r="Y82" s="17"/>
      <c r="Z82" s="13"/>
      <c r="AA82" s="13"/>
      <c r="AB82" s="13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3"/>
    </row>
    <row r="83" spans="1:45" ht="36" customHeight="1" x14ac:dyDescent="0.2">
      <c r="A83" s="13"/>
      <c r="B83" s="14"/>
      <c r="C83" s="15"/>
      <c r="D83" s="15"/>
      <c r="E83" s="13"/>
      <c r="F83" s="34" t="str" cm="1">
        <f t="array" ref="F83">IF($A83="","",GetMatchingValue($XFD$8,"Original","Control Number",F$2,$A83))</f>
        <v/>
      </c>
      <c r="G83" s="34" t="str" cm="1">
        <f t="array" ref="G83">IF($A83="","",GetMatchingValue($XFD$8,"Original","Control Number",G$2,$A83))</f>
        <v/>
      </c>
      <c r="H83" s="34" t="str" cm="1">
        <f t="array" ref="H83">IF($A83="","",GetMatchingValue($XFD$8,"Original","Control Number",H$2,$A83))</f>
        <v/>
      </c>
      <c r="I83" s="13"/>
      <c r="J83" s="13" t="str" cm="1">
        <f t="array" ref="J83">IF($A83="","",CheckControlNumberExists($XFD$9, "Original", $A83))</f>
        <v/>
      </c>
      <c r="K83" s="34" t="str" cm="1">
        <f t="array" ref="K83">IF($A83="","",IF($J83="No","",GetMatchingValue($XFD$9,"Original","Control Number",K$2,$A83)))</f>
        <v/>
      </c>
      <c r="L83" s="34" t="str" cm="1">
        <f t="array" ref="L83">IF($A83="","",IF($J83="No","",GetMatchingValue($XFD$9,"Original","Control Number",L$2,$A83)))</f>
        <v/>
      </c>
      <c r="M83" s="13" t="str">
        <f t="shared" ca="1" si="3"/>
        <v/>
      </c>
      <c r="N83" s="16"/>
      <c r="O83" s="34" t="str" cm="1">
        <f t="array" ref="O83">IF($A83="","",IF($J83="No","",GetMatchingValue($XFD$9,"Original","Control Number",O$2,$A83)))</f>
        <v/>
      </c>
      <c r="P83" s="34" t="str" cm="1">
        <f t="array" ref="P83">IF($A83="","",IF($J83="No","",GetMatchingValue($XFD$9,"Original","Control Number",P$2,$A83)))</f>
        <v/>
      </c>
      <c r="Q83" s="34" t="str" cm="1">
        <f t="array" ref="Q83">IF($A83="","",IF($J83="No","",GetMatchingValue($XFD$9,"Original","Control Number",Q$2,$A83)))</f>
        <v/>
      </c>
      <c r="R83" s="34" t="str" cm="1">
        <f t="array" ref="R83">IF($A83="","",IF($J83="No","",GetMatchingValue($XFD$9,"Original","Control Number",R$2,$A83)))</f>
        <v/>
      </c>
      <c r="S83" s="34" t="str" cm="1">
        <f t="array" ref="S83">IF($A83="","",IF($J83="No","",GetMatchingValue($XFD$9,"Original","Control Number",S$2,$A83)))</f>
        <v/>
      </c>
      <c r="T83" s="34" t="str" cm="1">
        <f t="array" ref="T83">IF($A83="","",IF($J83="No","",GetMatchingValue($XFD$9,"Original","Control Number",T$2,$A83)))</f>
        <v/>
      </c>
      <c r="U83" s="34" t="str" cm="1">
        <f t="array" ref="U83">IF($A83="","",IF($J83="No","",GetMatchingValue($XFD$9,"Original","Control Number",U$2,$A83)))</f>
        <v/>
      </c>
      <c r="V83" s="14"/>
      <c r="W83" s="17"/>
      <c r="X83" s="17"/>
      <c r="Y83" s="17"/>
      <c r="Z83" s="13"/>
      <c r="AA83" s="13"/>
      <c r="AB83" s="13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3"/>
    </row>
    <row r="84" spans="1:45" ht="36" customHeight="1" x14ac:dyDescent="0.2">
      <c r="A84" s="13"/>
      <c r="B84" s="14"/>
      <c r="C84" s="15"/>
      <c r="D84" s="15"/>
      <c r="E84" s="13"/>
      <c r="F84" s="34" t="str" cm="1">
        <f t="array" ref="F84">IF($A84="","",GetMatchingValue($XFD$8,"Original","Control Number",F$2,$A84))</f>
        <v/>
      </c>
      <c r="G84" s="34" t="str" cm="1">
        <f t="array" ref="G84">IF($A84="","",GetMatchingValue($XFD$8,"Original","Control Number",G$2,$A84))</f>
        <v/>
      </c>
      <c r="H84" s="34" t="str" cm="1">
        <f t="array" ref="H84">IF($A84="","",GetMatchingValue($XFD$8,"Original","Control Number",H$2,$A84))</f>
        <v/>
      </c>
      <c r="I84" s="13"/>
      <c r="J84" s="13" t="str" cm="1">
        <f t="array" ref="J84">IF($A84="","",CheckControlNumberExists($XFD$9, "Original", $A84))</f>
        <v/>
      </c>
      <c r="K84" s="34" t="str" cm="1">
        <f t="array" ref="K84">IF($A84="","",IF($J84="No","",GetMatchingValue($XFD$9,"Original","Control Number",K$2,$A84)))</f>
        <v/>
      </c>
      <c r="L84" s="34" t="str" cm="1">
        <f t="array" ref="L84">IF($A84="","",IF($J84="No","",GetMatchingValue($XFD$9,"Original","Control Number",L$2,$A84)))</f>
        <v/>
      </c>
      <c r="M84" s="13" t="str">
        <f t="shared" ca="1" si="3"/>
        <v/>
      </c>
      <c r="N84" s="16"/>
      <c r="O84" s="34" t="str" cm="1">
        <f t="array" ref="O84">IF($A84="","",IF($J84="No","",GetMatchingValue($XFD$9,"Original","Control Number",O$2,$A84)))</f>
        <v/>
      </c>
      <c r="P84" s="34" t="str" cm="1">
        <f t="array" ref="P84">IF($A84="","",IF($J84="No","",GetMatchingValue($XFD$9,"Original","Control Number",P$2,$A84)))</f>
        <v/>
      </c>
      <c r="Q84" s="34" t="str" cm="1">
        <f t="array" ref="Q84">IF($A84="","",IF($J84="No","",GetMatchingValue($XFD$9,"Original","Control Number",Q$2,$A84)))</f>
        <v/>
      </c>
      <c r="R84" s="34" t="str" cm="1">
        <f t="array" ref="R84">IF($A84="","",IF($J84="No","",GetMatchingValue($XFD$9,"Original","Control Number",R$2,$A84)))</f>
        <v/>
      </c>
      <c r="S84" s="34" t="str" cm="1">
        <f t="array" ref="S84">IF($A84="","",IF($J84="No","",GetMatchingValue($XFD$9,"Original","Control Number",S$2,$A84)))</f>
        <v/>
      </c>
      <c r="T84" s="34" t="str" cm="1">
        <f t="array" ref="T84">IF($A84="","",IF($J84="No","",GetMatchingValue($XFD$9,"Original","Control Number",T$2,$A84)))</f>
        <v/>
      </c>
      <c r="U84" s="34" t="str" cm="1">
        <f t="array" ref="U84">IF($A84="","",IF($J84="No","",GetMatchingValue($XFD$9,"Original","Control Number",U$2,$A84)))</f>
        <v/>
      </c>
      <c r="V84" s="14"/>
      <c r="W84" s="17"/>
      <c r="X84" s="17"/>
      <c r="Y84" s="17"/>
      <c r="Z84" s="13"/>
      <c r="AA84" s="13"/>
      <c r="AB84" s="13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3"/>
    </row>
    <row r="85" spans="1:45" ht="36" customHeight="1" x14ac:dyDescent="0.2">
      <c r="A85" s="13"/>
      <c r="B85" s="14"/>
      <c r="C85" s="15"/>
      <c r="D85" s="15"/>
      <c r="E85" s="13"/>
      <c r="F85" s="34" t="str" cm="1">
        <f t="array" ref="F85">IF($A85="","",GetMatchingValue($XFD$8,"Original","Control Number",F$2,$A85))</f>
        <v/>
      </c>
      <c r="G85" s="34" t="str" cm="1">
        <f t="array" ref="G85">IF($A85="","",GetMatchingValue($XFD$8,"Original","Control Number",G$2,$A85))</f>
        <v/>
      </c>
      <c r="H85" s="34" t="str" cm="1">
        <f t="array" ref="H85">IF($A85="","",GetMatchingValue($XFD$8,"Original","Control Number",H$2,$A85))</f>
        <v/>
      </c>
      <c r="I85" s="13"/>
      <c r="J85" s="13" t="str" cm="1">
        <f t="array" ref="J85">IF($A85="","",CheckControlNumberExists($XFD$9, "Original", $A85))</f>
        <v/>
      </c>
      <c r="K85" s="34" t="str" cm="1">
        <f t="array" ref="K85">IF($A85="","",IF($J85="No","",GetMatchingValue($XFD$9,"Original","Control Number",K$2,$A85)))</f>
        <v/>
      </c>
      <c r="L85" s="34" t="str" cm="1">
        <f t="array" ref="L85">IF($A85="","",IF($J85="No","",GetMatchingValue($XFD$9,"Original","Control Number",L$2,$A85)))</f>
        <v/>
      </c>
      <c r="M85" s="13" t="str">
        <f t="shared" ca="1" si="3"/>
        <v/>
      </c>
      <c r="N85" s="16"/>
      <c r="O85" s="34" t="str" cm="1">
        <f t="array" ref="O85">IF($A85="","",IF($J85="No","",GetMatchingValue($XFD$9,"Original","Control Number",O$2,$A85)))</f>
        <v/>
      </c>
      <c r="P85" s="34" t="str" cm="1">
        <f t="array" ref="P85">IF($A85="","",IF($J85="No","",GetMatchingValue($XFD$9,"Original","Control Number",P$2,$A85)))</f>
        <v/>
      </c>
      <c r="Q85" s="34" t="str" cm="1">
        <f t="array" ref="Q85">IF($A85="","",IF($J85="No","",GetMatchingValue($XFD$9,"Original","Control Number",Q$2,$A85)))</f>
        <v/>
      </c>
      <c r="R85" s="34" t="str" cm="1">
        <f t="array" ref="R85">IF($A85="","",IF($J85="No","",GetMatchingValue($XFD$9,"Original","Control Number",R$2,$A85)))</f>
        <v/>
      </c>
      <c r="S85" s="34" t="str" cm="1">
        <f t="array" ref="S85">IF($A85="","",IF($J85="No","",GetMatchingValue($XFD$9,"Original","Control Number",S$2,$A85)))</f>
        <v/>
      </c>
      <c r="T85" s="34" t="str" cm="1">
        <f t="array" ref="T85">IF($A85="","",IF($J85="No","",GetMatchingValue($XFD$9,"Original","Control Number",T$2,$A85)))</f>
        <v/>
      </c>
      <c r="U85" s="34" t="str" cm="1">
        <f t="array" ref="U85">IF($A85="","",IF($J85="No","",GetMatchingValue($XFD$9,"Original","Control Number",U$2,$A85)))</f>
        <v/>
      </c>
      <c r="V85" s="14"/>
      <c r="W85" s="17"/>
      <c r="X85" s="17"/>
      <c r="Y85" s="17"/>
      <c r="Z85" s="13"/>
      <c r="AA85" s="13"/>
      <c r="AB85" s="13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3"/>
    </row>
    <row r="86" spans="1:45" ht="36" customHeight="1" x14ac:dyDescent="0.2">
      <c r="A86" s="13"/>
      <c r="B86" s="14"/>
      <c r="C86" s="15"/>
      <c r="D86" s="15"/>
      <c r="E86" s="13"/>
      <c r="F86" s="34" t="str" cm="1">
        <f t="array" ref="F86">IF($A86="","",GetMatchingValue($XFD$8,"Original","Control Number",F$2,$A86))</f>
        <v/>
      </c>
      <c r="G86" s="34" t="str" cm="1">
        <f t="array" ref="G86">IF($A86="","",GetMatchingValue($XFD$8,"Original","Control Number",G$2,$A86))</f>
        <v/>
      </c>
      <c r="H86" s="34" t="str" cm="1">
        <f t="array" ref="H86">IF($A86="","",GetMatchingValue($XFD$8,"Original","Control Number",H$2,$A86))</f>
        <v/>
      </c>
      <c r="I86" s="13"/>
      <c r="J86" s="13" t="str" cm="1">
        <f t="array" ref="J86">IF($A86="","",CheckControlNumberExists($XFD$9, "Original", $A86))</f>
        <v/>
      </c>
      <c r="K86" s="34" t="str" cm="1">
        <f t="array" ref="K86">IF($A86="","",IF($J86="No","",GetMatchingValue($XFD$9,"Original","Control Number",K$2,$A86)))</f>
        <v/>
      </c>
      <c r="L86" s="34" t="str" cm="1">
        <f t="array" ref="L86">IF($A86="","",IF($J86="No","",GetMatchingValue($XFD$9,"Original","Control Number",L$2,$A86)))</f>
        <v/>
      </c>
      <c r="M86" s="13" t="str">
        <f t="shared" ca="1" si="3"/>
        <v/>
      </c>
      <c r="N86" s="16"/>
      <c r="O86" s="34" t="str" cm="1">
        <f t="array" ref="O86">IF($A86="","",IF($J86="No","",GetMatchingValue($XFD$9,"Original","Control Number",O$2,$A86)))</f>
        <v/>
      </c>
      <c r="P86" s="34" t="str" cm="1">
        <f t="array" ref="P86">IF($A86="","",IF($J86="No","",GetMatchingValue($XFD$9,"Original","Control Number",P$2,$A86)))</f>
        <v/>
      </c>
      <c r="Q86" s="34" t="str" cm="1">
        <f t="array" ref="Q86">IF($A86="","",IF($J86="No","",GetMatchingValue($XFD$9,"Original","Control Number",Q$2,$A86)))</f>
        <v/>
      </c>
      <c r="R86" s="34" t="str" cm="1">
        <f t="array" ref="R86">IF($A86="","",IF($J86="No","",GetMatchingValue($XFD$9,"Original","Control Number",R$2,$A86)))</f>
        <v/>
      </c>
      <c r="S86" s="34" t="str" cm="1">
        <f t="array" ref="S86">IF($A86="","",IF($J86="No","",GetMatchingValue($XFD$9,"Original","Control Number",S$2,$A86)))</f>
        <v/>
      </c>
      <c r="T86" s="34" t="str" cm="1">
        <f t="array" ref="T86">IF($A86="","",IF($J86="No","",GetMatchingValue($XFD$9,"Original","Control Number",T$2,$A86)))</f>
        <v/>
      </c>
      <c r="U86" s="34" t="str" cm="1">
        <f t="array" ref="U86">IF($A86="","",IF($J86="No","",GetMatchingValue($XFD$9,"Original","Control Number",U$2,$A86)))</f>
        <v/>
      </c>
      <c r="V86" s="14"/>
      <c r="W86" s="17"/>
      <c r="X86" s="17"/>
      <c r="Y86" s="17"/>
      <c r="Z86" s="13"/>
      <c r="AA86" s="13"/>
      <c r="AB86" s="13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3"/>
    </row>
    <row r="87" spans="1:45" ht="36" customHeight="1" x14ac:dyDescent="0.2">
      <c r="A87" s="13"/>
      <c r="B87" s="14"/>
      <c r="C87" s="15"/>
      <c r="D87" s="15"/>
      <c r="E87" s="13"/>
      <c r="F87" s="34" t="str" cm="1">
        <f t="array" ref="F87">IF($A87="","",GetMatchingValue($XFD$8,"Original","Control Number",F$2,$A87))</f>
        <v/>
      </c>
      <c r="G87" s="34" t="str" cm="1">
        <f t="array" ref="G87">IF($A87="","",GetMatchingValue($XFD$8,"Original","Control Number",G$2,$A87))</f>
        <v/>
      </c>
      <c r="H87" s="34" t="str" cm="1">
        <f t="array" ref="H87">IF($A87="","",GetMatchingValue($XFD$8,"Original","Control Number",H$2,$A87))</f>
        <v/>
      </c>
      <c r="I87" s="13"/>
      <c r="J87" s="13" t="str" cm="1">
        <f t="array" ref="J87">IF($A87="","",CheckControlNumberExists($XFD$9, "Original", $A87))</f>
        <v/>
      </c>
      <c r="K87" s="34" t="str" cm="1">
        <f t="array" ref="K87">IF($A87="","",IF($J87="No","",GetMatchingValue($XFD$9,"Original","Control Number",K$2,$A87)))</f>
        <v/>
      </c>
      <c r="L87" s="34" t="str" cm="1">
        <f t="array" ref="L87">IF($A87="","",IF($J87="No","",GetMatchingValue($XFD$9,"Original","Control Number",L$2,$A87)))</f>
        <v/>
      </c>
      <c r="M87" s="13" t="str">
        <f t="shared" ca="1" si="3"/>
        <v/>
      </c>
      <c r="N87" s="16"/>
      <c r="O87" s="34" t="str" cm="1">
        <f t="array" ref="O87">IF($A87="","",IF($J87="No","",GetMatchingValue($XFD$9,"Original","Control Number",O$2,$A87)))</f>
        <v/>
      </c>
      <c r="P87" s="34" t="str" cm="1">
        <f t="array" ref="P87">IF($A87="","",IF($J87="No","",GetMatchingValue($XFD$9,"Original","Control Number",P$2,$A87)))</f>
        <v/>
      </c>
      <c r="Q87" s="34" t="str" cm="1">
        <f t="array" ref="Q87">IF($A87="","",IF($J87="No","",GetMatchingValue($XFD$9,"Original","Control Number",Q$2,$A87)))</f>
        <v/>
      </c>
      <c r="R87" s="34" t="str" cm="1">
        <f t="array" ref="R87">IF($A87="","",IF($J87="No","",GetMatchingValue($XFD$9,"Original","Control Number",R$2,$A87)))</f>
        <v/>
      </c>
      <c r="S87" s="34" t="str" cm="1">
        <f t="array" ref="S87">IF($A87="","",IF($J87="No","",GetMatchingValue($XFD$9,"Original","Control Number",S$2,$A87)))</f>
        <v/>
      </c>
      <c r="T87" s="34" t="str" cm="1">
        <f t="array" ref="T87">IF($A87="","",IF($J87="No","",GetMatchingValue($XFD$9,"Original","Control Number",T$2,$A87)))</f>
        <v/>
      </c>
      <c r="U87" s="34" t="str" cm="1">
        <f t="array" ref="U87">IF($A87="","",IF($J87="No","",GetMatchingValue($XFD$9,"Original","Control Number",U$2,$A87)))</f>
        <v/>
      </c>
      <c r="V87" s="14"/>
      <c r="W87" s="17"/>
      <c r="X87" s="17"/>
      <c r="Y87" s="17"/>
      <c r="Z87" s="13"/>
      <c r="AA87" s="13"/>
      <c r="AB87" s="13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3"/>
    </row>
    <row r="88" spans="1:45" ht="36" customHeight="1" x14ac:dyDescent="0.2">
      <c r="A88" s="13"/>
      <c r="B88" s="14"/>
      <c r="C88" s="15"/>
      <c r="D88" s="15"/>
      <c r="E88" s="13"/>
      <c r="F88" s="34" t="str" cm="1">
        <f t="array" ref="F88">IF($A88="","",GetMatchingValue($XFD$8,"Original","Control Number",F$2,$A88))</f>
        <v/>
      </c>
      <c r="G88" s="34" t="str" cm="1">
        <f t="array" ref="G88">IF($A88="","",GetMatchingValue($XFD$8,"Original","Control Number",G$2,$A88))</f>
        <v/>
      </c>
      <c r="H88" s="34" t="str" cm="1">
        <f t="array" ref="H88">IF($A88="","",GetMatchingValue($XFD$8,"Original","Control Number",H$2,$A88))</f>
        <v/>
      </c>
      <c r="I88" s="13"/>
      <c r="J88" s="13" t="str" cm="1">
        <f t="array" ref="J88">IF($A88="","",CheckControlNumberExists($XFD$9, "Original", $A88))</f>
        <v/>
      </c>
      <c r="K88" s="34" t="str" cm="1">
        <f t="array" ref="K88">IF($A88="","",IF($J88="No","",GetMatchingValue($XFD$9,"Original","Control Number",K$2,$A88)))</f>
        <v/>
      </c>
      <c r="L88" s="34" t="str" cm="1">
        <f t="array" ref="L88">IF($A88="","",IF($J88="No","",GetMatchingValue($XFD$9,"Original","Control Number",L$2,$A88)))</f>
        <v/>
      </c>
      <c r="M88" s="13" t="str">
        <f t="shared" ca="1" si="3"/>
        <v/>
      </c>
      <c r="N88" s="16"/>
      <c r="O88" s="34" t="str" cm="1">
        <f t="array" ref="O88">IF($A88="","",IF($J88="No","",GetMatchingValue($XFD$9,"Original","Control Number",O$2,$A88)))</f>
        <v/>
      </c>
      <c r="P88" s="34" t="str" cm="1">
        <f t="array" ref="P88">IF($A88="","",IF($J88="No","",GetMatchingValue($XFD$9,"Original","Control Number",P$2,$A88)))</f>
        <v/>
      </c>
      <c r="Q88" s="34" t="str" cm="1">
        <f t="array" ref="Q88">IF($A88="","",IF($J88="No","",GetMatchingValue($XFD$9,"Original","Control Number",Q$2,$A88)))</f>
        <v/>
      </c>
      <c r="R88" s="34" t="str" cm="1">
        <f t="array" ref="R88">IF($A88="","",IF($J88="No","",GetMatchingValue($XFD$9,"Original","Control Number",R$2,$A88)))</f>
        <v/>
      </c>
      <c r="S88" s="34" t="str" cm="1">
        <f t="array" ref="S88">IF($A88="","",IF($J88="No","",GetMatchingValue($XFD$9,"Original","Control Number",S$2,$A88)))</f>
        <v/>
      </c>
      <c r="T88" s="34" t="str" cm="1">
        <f t="array" ref="T88">IF($A88="","",IF($J88="No","",GetMatchingValue($XFD$9,"Original","Control Number",T$2,$A88)))</f>
        <v/>
      </c>
      <c r="U88" s="34" t="str" cm="1">
        <f t="array" ref="U88">IF($A88="","",IF($J88="No","",GetMatchingValue($XFD$9,"Original","Control Number",U$2,$A88)))</f>
        <v/>
      </c>
      <c r="V88" s="14"/>
      <c r="W88" s="17"/>
      <c r="X88" s="17"/>
      <c r="Y88" s="17"/>
      <c r="Z88" s="13"/>
      <c r="AA88" s="13"/>
      <c r="AB88" s="13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3"/>
    </row>
    <row r="89" spans="1:45" ht="36" customHeight="1" x14ac:dyDescent="0.2">
      <c r="A89" s="13"/>
      <c r="B89" s="14"/>
      <c r="C89" s="15"/>
      <c r="D89" s="15"/>
      <c r="E89" s="13"/>
      <c r="F89" s="34" t="str" cm="1">
        <f t="array" ref="F89">IF($A89="","",GetMatchingValue($XFD$8,"Original","Control Number",F$2,$A89))</f>
        <v/>
      </c>
      <c r="G89" s="34" t="str" cm="1">
        <f t="array" ref="G89">IF($A89="","",GetMatchingValue($XFD$8,"Original","Control Number",G$2,$A89))</f>
        <v/>
      </c>
      <c r="H89" s="34" t="str" cm="1">
        <f t="array" ref="H89">IF($A89="","",GetMatchingValue($XFD$8,"Original","Control Number",H$2,$A89))</f>
        <v/>
      </c>
      <c r="I89" s="13"/>
      <c r="J89" s="13" t="str" cm="1">
        <f t="array" ref="J89">IF($A89="","",CheckControlNumberExists($XFD$9, "Original", $A89))</f>
        <v/>
      </c>
      <c r="K89" s="34" t="str" cm="1">
        <f t="array" ref="K89">IF($A89="","",IF($J89="No","",GetMatchingValue($XFD$9,"Original","Control Number",K$2,$A89)))</f>
        <v/>
      </c>
      <c r="L89" s="34" t="str" cm="1">
        <f t="array" ref="L89">IF($A89="","",IF($J89="No","",GetMatchingValue($XFD$9,"Original","Control Number",L$2,$A89)))</f>
        <v/>
      </c>
      <c r="M89" s="13" t="str">
        <f t="shared" ca="1" si="3"/>
        <v/>
      </c>
      <c r="N89" s="16"/>
      <c r="O89" s="34" t="str" cm="1">
        <f t="array" ref="O89">IF($A89="","",IF($J89="No","",GetMatchingValue($XFD$9,"Original","Control Number",O$2,$A89)))</f>
        <v/>
      </c>
      <c r="P89" s="34" t="str" cm="1">
        <f t="array" ref="P89">IF($A89="","",IF($J89="No","",GetMatchingValue($XFD$9,"Original","Control Number",P$2,$A89)))</f>
        <v/>
      </c>
      <c r="Q89" s="34" t="str" cm="1">
        <f t="array" ref="Q89">IF($A89="","",IF($J89="No","",GetMatchingValue($XFD$9,"Original","Control Number",Q$2,$A89)))</f>
        <v/>
      </c>
      <c r="R89" s="34" t="str" cm="1">
        <f t="array" ref="R89">IF($A89="","",IF($J89="No","",GetMatchingValue($XFD$9,"Original","Control Number",R$2,$A89)))</f>
        <v/>
      </c>
      <c r="S89" s="34" t="str" cm="1">
        <f t="array" ref="S89">IF($A89="","",IF($J89="No","",GetMatchingValue($XFD$9,"Original","Control Number",S$2,$A89)))</f>
        <v/>
      </c>
      <c r="T89" s="34" t="str" cm="1">
        <f t="array" ref="T89">IF($A89="","",IF($J89="No","",GetMatchingValue($XFD$9,"Original","Control Number",T$2,$A89)))</f>
        <v/>
      </c>
      <c r="U89" s="34" t="str" cm="1">
        <f t="array" ref="U89">IF($A89="","",IF($J89="No","",GetMatchingValue($XFD$9,"Original","Control Number",U$2,$A89)))</f>
        <v/>
      </c>
      <c r="V89" s="14"/>
      <c r="W89" s="17"/>
      <c r="X89" s="17"/>
      <c r="Y89" s="17"/>
      <c r="Z89" s="13"/>
      <c r="AA89" s="13"/>
      <c r="AB89" s="13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3"/>
    </row>
    <row r="90" spans="1:45" ht="36" customHeight="1" x14ac:dyDescent="0.2">
      <c r="A90" s="13"/>
      <c r="B90" s="14"/>
      <c r="C90" s="15"/>
      <c r="D90" s="15"/>
      <c r="E90" s="13"/>
      <c r="F90" s="34" t="str" cm="1">
        <f t="array" ref="F90">IF($A90="","",GetMatchingValue($XFD$8,"Original","Control Number",F$2,$A90))</f>
        <v/>
      </c>
      <c r="G90" s="34" t="str" cm="1">
        <f t="array" ref="G90">IF($A90="","",GetMatchingValue($XFD$8,"Original","Control Number",G$2,$A90))</f>
        <v/>
      </c>
      <c r="H90" s="34" t="str" cm="1">
        <f t="array" ref="H90">IF($A90="","",GetMatchingValue($XFD$8,"Original","Control Number",H$2,$A90))</f>
        <v/>
      </c>
      <c r="I90" s="13"/>
      <c r="J90" s="13" t="str" cm="1">
        <f t="array" ref="J90">IF($A90="","",CheckControlNumberExists($XFD$9, "Original", $A90))</f>
        <v/>
      </c>
      <c r="K90" s="34" t="str" cm="1">
        <f t="array" ref="K90">IF($A90="","",IF($J90="No","",GetMatchingValue($XFD$9,"Original","Control Number",K$2,$A90)))</f>
        <v/>
      </c>
      <c r="L90" s="34" t="str" cm="1">
        <f t="array" ref="L90">IF($A90="","",IF($J90="No","",GetMatchingValue($XFD$9,"Original","Control Number",L$2,$A90)))</f>
        <v/>
      </c>
      <c r="M90" s="13" t="str">
        <f t="shared" ca="1" si="3"/>
        <v/>
      </c>
      <c r="N90" s="16"/>
      <c r="O90" s="34" t="str" cm="1">
        <f t="array" ref="O90">IF($A90="","",IF($J90="No","",GetMatchingValue($XFD$9,"Original","Control Number",O$2,$A90)))</f>
        <v/>
      </c>
      <c r="P90" s="34" t="str" cm="1">
        <f t="array" ref="P90">IF($A90="","",IF($J90="No","",GetMatchingValue($XFD$9,"Original","Control Number",P$2,$A90)))</f>
        <v/>
      </c>
      <c r="Q90" s="34" t="str" cm="1">
        <f t="array" ref="Q90">IF($A90="","",IF($J90="No","",GetMatchingValue($XFD$9,"Original","Control Number",Q$2,$A90)))</f>
        <v/>
      </c>
      <c r="R90" s="34" t="str" cm="1">
        <f t="array" ref="R90">IF($A90="","",IF($J90="No","",GetMatchingValue($XFD$9,"Original","Control Number",R$2,$A90)))</f>
        <v/>
      </c>
      <c r="S90" s="34" t="str" cm="1">
        <f t="array" ref="S90">IF($A90="","",IF($J90="No","",GetMatchingValue($XFD$9,"Original","Control Number",S$2,$A90)))</f>
        <v/>
      </c>
      <c r="T90" s="34" t="str" cm="1">
        <f t="array" ref="T90">IF($A90="","",IF($J90="No","",GetMatchingValue($XFD$9,"Original","Control Number",T$2,$A90)))</f>
        <v/>
      </c>
      <c r="U90" s="34" t="str" cm="1">
        <f t="array" ref="U90">IF($A90="","",IF($J90="No","",GetMatchingValue($XFD$9,"Original","Control Number",U$2,$A90)))</f>
        <v/>
      </c>
      <c r="V90" s="14"/>
      <c r="W90" s="17"/>
      <c r="X90" s="17"/>
      <c r="Y90" s="17"/>
      <c r="Z90" s="13"/>
      <c r="AA90" s="13"/>
      <c r="AB90" s="13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3"/>
    </row>
    <row r="91" spans="1:45" ht="36" customHeight="1" x14ac:dyDescent="0.2">
      <c r="A91" s="13"/>
      <c r="B91" s="14"/>
      <c r="C91" s="15"/>
      <c r="D91" s="15"/>
      <c r="E91" s="13"/>
      <c r="F91" s="34" t="str" cm="1">
        <f t="array" ref="F91">IF($A91="","",GetMatchingValue($XFD$8,"Original","Control Number",F$2,$A91))</f>
        <v/>
      </c>
      <c r="G91" s="34" t="str" cm="1">
        <f t="array" ref="G91">IF($A91="","",GetMatchingValue($XFD$8,"Original","Control Number",G$2,$A91))</f>
        <v/>
      </c>
      <c r="H91" s="34" t="str" cm="1">
        <f t="array" ref="H91">IF($A91="","",GetMatchingValue($XFD$8,"Original","Control Number",H$2,$A91))</f>
        <v/>
      </c>
      <c r="I91" s="13"/>
      <c r="J91" s="13" t="str" cm="1">
        <f t="array" ref="J91">IF($A91="","",CheckControlNumberExists($XFD$9, "Original", $A91))</f>
        <v/>
      </c>
      <c r="K91" s="34" t="str" cm="1">
        <f t="array" ref="K91">IF($A91="","",IF($J91="No","",GetMatchingValue($XFD$9,"Original","Control Number",K$2,$A91)))</f>
        <v/>
      </c>
      <c r="L91" s="34" t="str" cm="1">
        <f t="array" ref="L91">IF($A91="","",IF($J91="No","",GetMatchingValue($XFD$9,"Original","Control Number",L$2,$A91)))</f>
        <v/>
      </c>
      <c r="M91" s="13" t="str">
        <f t="shared" ca="1" si="3"/>
        <v/>
      </c>
      <c r="N91" s="16"/>
      <c r="O91" s="34" t="str" cm="1">
        <f t="array" ref="O91">IF($A91="","",IF($J91="No","",GetMatchingValue($XFD$9,"Original","Control Number",O$2,$A91)))</f>
        <v/>
      </c>
      <c r="P91" s="34" t="str" cm="1">
        <f t="array" ref="P91">IF($A91="","",IF($J91="No","",GetMatchingValue($XFD$9,"Original","Control Number",P$2,$A91)))</f>
        <v/>
      </c>
      <c r="Q91" s="34" t="str" cm="1">
        <f t="array" ref="Q91">IF($A91="","",IF($J91="No","",GetMatchingValue($XFD$9,"Original","Control Number",Q$2,$A91)))</f>
        <v/>
      </c>
      <c r="R91" s="34" t="str" cm="1">
        <f t="array" ref="R91">IF($A91="","",IF($J91="No","",GetMatchingValue($XFD$9,"Original","Control Number",R$2,$A91)))</f>
        <v/>
      </c>
      <c r="S91" s="34" t="str" cm="1">
        <f t="array" ref="S91">IF($A91="","",IF($J91="No","",GetMatchingValue($XFD$9,"Original","Control Number",S$2,$A91)))</f>
        <v/>
      </c>
      <c r="T91" s="34" t="str" cm="1">
        <f t="array" ref="T91">IF($A91="","",IF($J91="No","",GetMatchingValue($XFD$9,"Original","Control Number",T$2,$A91)))</f>
        <v/>
      </c>
      <c r="U91" s="34" t="str" cm="1">
        <f t="array" ref="U91">IF($A91="","",IF($J91="No","",GetMatchingValue($XFD$9,"Original","Control Number",U$2,$A91)))</f>
        <v/>
      </c>
      <c r="V91" s="14"/>
      <c r="W91" s="17"/>
      <c r="X91" s="17"/>
      <c r="Y91" s="17"/>
      <c r="Z91" s="13"/>
      <c r="AA91" s="13"/>
      <c r="AB91" s="13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3"/>
    </row>
    <row r="92" spans="1:45" ht="36" customHeight="1" x14ac:dyDescent="0.2">
      <c r="A92" s="13"/>
      <c r="B92" s="14"/>
      <c r="C92" s="15"/>
      <c r="D92" s="15"/>
      <c r="E92" s="13"/>
      <c r="F92" s="34" t="str" cm="1">
        <f t="array" ref="F92">IF($A92="","",GetMatchingValue($XFD$8,"Original","Control Number",F$2,$A92))</f>
        <v/>
      </c>
      <c r="G92" s="34" t="str" cm="1">
        <f t="array" ref="G92">IF($A92="","",GetMatchingValue($XFD$8,"Original","Control Number",G$2,$A92))</f>
        <v/>
      </c>
      <c r="H92" s="34" t="str" cm="1">
        <f t="array" ref="H92">IF($A92="","",GetMatchingValue($XFD$8,"Original","Control Number",H$2,$A92))</f>
        <v/>
      </c>
      <c r="I92" s="13"/>
      <c r="J92" s="13" t="str" cm="1">
        <f t="array" ref="J92">IF($A92="","",CheckControlNumberExists($XFD$9, "Original", $A92))</f>
        <v/>
      </c>
      <c r="K92" s="34" t="str" cm="1">
        <f t="array" ref="K92">IF($A92="","",IF($J92="No","",GetMatchingValue($XFD$9,"Original","Control Number",K$2,$A92)))</f>
        <v/>
      </c>
      <c r="L92" s="34" t="str" cm="1">
        <f t="array" ref="L92">IF($A92="","",IF($J92="No","",GetMatchingValue($XFD$9,"Original","Control Number",L$2,$A92)))</f>
        <v/>
      </c>
      <c r="M92" s="13" t="str">
        <f t="shared" ca="1" si="3"/>
        <v/>
      </c>
      <c r="N92" s="16"/>
      <c r="O92" s="34" t="str" cm="1">
        <f t="array" ref="O92">IF($A92="","",IF($J92="No","",GetMatchingValue($XFD$9,"Original","Control Number",O$2,$A92)))</f>
        <v/>
      </c>
      <c r="P92" s="34" t="str" cm="1">
        <f t="array" ref="P92">IF($A92="","",IF($J92="No","",GetMatchingValue($XFD$9,"Original","Control Number",P$2,$A92)))</f>
        <v/>
      </c>
      <c r="Q92" s="34" t="str" cm="1">
        <f t="array" ref="Q92">IF($A92="","",IF($J92="No","",GetMatchingValue($XFD$9,"Original","Control Number",Q$2,$A92)))</f>
        <v/>
      </c>
      <c r="R92" s="34" t="str" cm="1">
        <f t="array" ref="R92">IF($A92="","",IF($J92="No","",GetMatchingValue($XFD$9,"Original","Control Number",R$2,$A92)))</f>
        <v/>
      </c>
      <c r="S92" s="34" t="str" cm="1">
        <f t="array" ref="S92">IF($A92="","",IF($J92="No","",GetMatchingValue($XFD$9,"Original","Control Number",S$2,$A92)))</f>
        <v/>
      </c>
      <c r="T92" s="34" t="str" cm="1">
        <f t="array" ref="T92">IF($A92="","",IF($J92="No","",GetMatchingValue($XFD$9,"Original","Control Number",T$2,$A92)))</f>
        <v/>
      </c>
      <c r="U92" s="34" t="str" cm="1">
        <f t="array" ref="U92">IF($A92="","",IF($J92="No","",GetMatchingValue($XFD$9,"Original","Control Number",U$2,$A92)))</f>
        <v/>
      </c>
      <c r="V92" s="14"/>
      <c r="W92" s="17"/>
      <c r="X92" s="17"/>
      <c r="Y92" s="17"/>
      <c r="Z92" s="13"/>
      <c r="AA92" s="13"/>
      <c r="AB92" s="13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3"/>
    </row>
    <row r="93" spans="1:45" customFormat="1" ht="36" customHeight="1" x14ac:dyDescent="0.25">
      <c r="A93" s="13"/>
      <c r="B93" s="14"/>
      <c r="C93" s="15"/>
      <c r="D93" s="15"/>
      <c r="E93" s="13"/>
      <c r="F93" s="34" t="str" cm="1">
        <f t="array" ref="F93">IF($A93="","",GetMatchingValue($XFD$8,"Original","Control Number",F$2,$A93))</f>
        <v/>
      </c>
      <c r="G93" s="34" t="str" cm="1">
        <f t="array" ref="G93">IF($A93="","",GetMatchingValue($XFD$8,"Original","Control Number",G$2,$A93))</f>
        <v/>
      </c>
      <c r="H93" s="34" t="str" cm="1">
        <f t="array" ref="H93">IF($A93="","",GetMatchingValue($XFD$8,"Original","Control Number",H$2,$A93))</f>
        <v/>
      </c>
      <c r="I93" s="13"/>
      <c r="J93" s="13" t="str" cm="1">
        <f t="array" ref="J93">IF($A93="","",CheckControlNumberExists($XFD$9, "Original", $A93))</f>
        <v/>
      </c>
      <c r="K93" s="34" t="str" cm="1">
        <f t="array" ref="K93">IF($A93="","",IF($J93="No","",GetMatchingValue($XFD$9,"Original","Control Number",K$2,$A93)))</f>
        <v/>
      </c>
      <c r="L93" s="34" t="str" cm="1">
        <f t="array" ref="L93">IF($A93="","",IF($J93="No","",GetMatchingValue($XFD$9,"Original","Control Number",L$2,$A93)))</f>
        <v/>
      </c>
      <c r="M93" s="13" t="str">
        <f t="shared" ca="1" si="3"/>
        <v/>
      </c>
      <c r="N93" s="16"/>
      <c r="O93" s="34" t="str" cm="1">
        <f t="array" ref="O93">IF($A93="","",IF($J93="No","",GetMatchingValue($XFD$9,"Original","Control Number",O$2,$A93)))</f>
        <v/>
      </c>
      <c r="P93" s="34" t="str" cm="1">
        <f t="array" ref="P93">IF($A93="","",IF($J93="No","",GetMatchingValue($XFD$9,"Original","Control Number",P$2,$A93)))</f>
        <v/>
      </c>
      <c r="Q93" s="34" t="str" cm="1">
        <f t="array" ref="Q93">IF($A93="","",IF($J93="No","",GetMatchingValue($XFD$9,"Original","Control Number",Q$2,$A93)))</f>
        <v/>
      </c>
      <c r="R93" s="34" t="str" cm="1">
        <f t="array" ref="R93">IF($A93="","",IF($J93="No","",GetMatchingValue($XFD$9,"Original","Control Number",R$2,$A93)))</f>
        <v/>
      </c>
      <c r="S93" s="34" t="str" cm="1">
        <f t="array" ref="S93">IF($A93="","",IF($J93="No","",GetMatchingValue($XFD$9,"Original","Control Number",S$2,$A93)))</f>
        <v/>
      </c>
      <c r="T93" s="34" t="str" cm="1">
        <f t="array" ref="T93">IF($A93="","",IF($J93="No","",GetMatchingValue($XFD$9,"Original","Control Number",T$2,$A93)))</f>
        <v/>
      </c>
      <c r="U93" s="34" t="str" cm="1">
        <f t="array" ref="U93">IF($A93="","",IF($J93="No","",GetMatchingValue($XFD$9,"Original","Control Number",U$2,$A93)))</f>
        <v/>
      </c>
      <c r="V93" s="14"/>
      <c r="W93" s="17"/>
      <c r="X93" s="17"/>
      <c r="Y93" s="17"/>
      <c r="Z93" s="13"/>
      <c r="AA93" s="13"/>
      <c r="AB93" s="13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3"/>
    </row>
    <row r="94" spans="1:45" customFormat="1" ht="36" customHeight="1" x14ac:dyDescent="0.25">
      <c r="A94" s="13"/>
      <c r="B94" s="14"/>
      <c r="C94" s="15"/>
      <c r="D94" s="15"/>
      <c r="E94" s="13"/>
      <c r="F94" s="34" t="str" cm="1">
        <f t="array" ref="F94">IF($A94="","",GetMatchingValue($XFD$8,"Original","Control Number",F$2,$A94))</f>
        <v/>
      </c>
      <c r="G94" s="34" t="str" cm="1">
        <f t="array" ref="G94">IF($A94="","",GetMatchingValue($XFD$8,"Original","Control Number",G$2,$A94))</f>
        <v/>
      </c>
      <c r="H94" s="34" t="str" cm="1">
        <f t="array" ref="H94">IF($A94="","",GetMatchingValue($XFD$8,"Original","Control Number",H$2,$A94))</f>
        <v/>
      </c>
      <c r="I94" s="13"/>
      <c r="J94" s="13" t="str" cm="1">
        <f t="array" ref="J94">IF($A94="","",CheckControlNumberExists($XFD$9, "Original", $A94))</f>
        <v/>
      </c>
      <c r="K94" s="34" t="str" cm="1">
        <f t="array" ref="K94">IF($A94="","",IF($J94="No","",GetMatchingValue($XFD$9,"Original","Control Number",K$2,$A94)))</f>
        <v/>
      </c>
      <c r="L94" s="34" t="str" cm="1">
        <f t="array" ref="L94">IF($A94="","",IF($J94="No","",GetMatchingValue($XFD$9,"Original","Control Number",L$2,$A94)))</f>
        <v/>
      </c>
      <c r="M94" s="13" t="str">
        <f t="shared" ca="1" si="3"/>
        <v/>
      </c>
      <c r="N94" s="16"/>
      <c r="O94" s="34" t="str" cm="1">
        <f t="array" ref="O94">IF($A94="","",IF($J94="No","",GetMatchingValue($XFD$9,"Original","Control Number",O$2,$A94)))</f>
        <v/>
      </c>
      <c r="P94" s="34" t="str" cm="1">
        <f t="array" ref="P94">IF($A94="","",IF($J94="No","",GetMatchingValue($XFD$9,"Original","Control Number",P$2,$A94)))</f>
        <v/>
      </c>
      <c r="Q94" s="34" t="str" cm="1">
        <f t="array" ref="Q94">IF($A94="","",IF($J94="No","",GetMatchingValue($XFD$9,"Original","Control Number",Q$2,$A94)))</f>
        <v/>
      </c>
      <c r="R94" s="34" t="str" cm="1">
        <f t="array" ref="R94">IF($A94="","",IF($J94="No","",GetMatchingValue($XFD$9,"Original","Control Number",R$2,$A94)))</f>
        <v/>
      </c>
      <c r="S94" s="34" t="str" cm="1">
        <f t="array" ref="S94">IF($A94="","",IF($J94="No","",GetMatchingValue($XFD$9,"Original","Control Number",S$2,$A94)))</f>
        <v/>
      </c>
      <c r="T94" s="34" t="str" cm="1">
        <f t="array" ref="T94">IF($A94="","",IF($J94="No","",GetMatchingValue($XFD$9,"Original","Control Number",T$2,$A94)))</f>
        <v/>
      </c>
      <c r="U94" s="34" t="str" cm="1">
        <f t="array" ref="U94">IF($A94="","",IF($J94="No","",GetMatchingValue($XFD$9,"Original","Control Number",U$2,$A94)))</f>
        <v/>
      </c>
      <c r="V94" s="14"/>
      <c r="W94" s="17"/>
      <c r="X94" s="17"/>
      <c r="Y94" s="17"/>
      <c r="Z94" s="13"/>
      <c r="AA94" s="13"/>
      <c r="AB94" s="13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3"/>
    </row>
    <row r="95" spans="1:45" customFormat="1" ht="36" customHeight="1" x14ac:dyDescent="0.25">
      <c r="A95" s="13"/>
      <c r="B95" s="14"/>
      <c r="C95" s="15"/>
      <c r="D95" s="15"/>
      <c r="E95" s="13"/>
      <c r="F95" s="34" t="str" cm="1">
        <f t="array" ref="F95">IF($A95="","",GetMatchingValue($XFD$8,"Original","Control Number",F$2,$A95))</f>
        <v/>
      </c>
      <c r="G95" s="34" t="str" cm="1">
        <f t="array" ref="G95">IF($A95="","",GetMatchingValue($XFD$8,"Original","Control Number",G$2,$A95))</f>
        <v/>
      </c>
      <c r="H95" s="34" t="str" cm="1">
        <f t="array" ref="H95">IF($A95="","",GetMatchingValue($XFD$8,"Original","Control Number",H$2,$A95))</f>
        <v/>
      </c>
      <c r="I95" s="13"/>
      <c r="J95" s="13" t="str" cm="1">
        <f t="array" ref="J95">IF($A95="","",CheckControlNumberExists($XFD$9, "Original", $A95))</f>
        <v/>
      </c>
      <c r="K95" s="34" t="str" cm="1">
        <f t="array" ref="K95">IF($A95="","",IF($J95="No","",GetMatchingValue($XFD$9,"Original","Control Number",K$2,$A95)))</f>
        <v/>
      </c>
      <c r="L95" s="34" t="str" cm="1">
        <f t="array" ref="L95">IF($A95="","",IF($J95="No","",GetMatchingValue($XFD$9,"Original","Control Number",L$2,$A95)))</f>
        <v/>
      </c>
      <c r="M95" s="13" t="str">
        <f t="shared" ca="1" si="3"/>
        <v/>
      </c>
      <c r="N95" s="16"/>
      <c r="O95" s="34" t="str" cm="1">
        <f t="array" ref="O95">IF($A95="","",IF($J95="No","",GetMatchingValue($XFD$9,"Original","Control Number",O$2,$A95)))</f>
        <v/>
      </c>
      <c r="P95" s="34" t="str" cm="1">
        <f t="array" ref="P95">IF($A95="","",IF($J95="No","",GetMatchingValue($XFD$9,"Original","Control Number",P$2,$A95)))</f>
        <v/>
      </c>
      <c r="Q95" s="34" t="str" cm="1">
        <f t="array" ref="Q95">IF($A95="","",IF($J95="No","",GetMatchingValue($XFD$9,"Original","Control Number",Q$2,$A95)))</f>
        <v/>
      </c>
      <c r="R95" s="34" t="str" cm="1">
        <f t="array" ref="R95">IF($A95="","",IF($J95="No","",GetMatchingValue($XFD$9,"Original","Control Number",R$2,$A95)))</f>
        <v/>
      </c>
      <c r="S95" s="34" t="str" cm="1">
        <f t="array" ref="S95">IF($A95="","",IF($J95="No","",GetMatchingValue($XFD$9,"Original","Control Number",S$2,$A95)))</f>
        <v/>
      </c>
      <c r="T95" s="34" t="str" cm="1">
        <f t="array" ref="T95">IF($A95="","",IF($J95="No","",GetMatchingValue($XFD$9,"Original","Control Number",T$2,$A95)))</f>
        <v/>
      </c>
      <c r="U95" s="34" t="str" cm="1">
        <f t="array" ref="U95">IF($A95="","",IF($J95="No","",GetMatchingValue($XFD$9,"Original","Control Number",U$2,$A95)))</f>
        <v/>
      </c>
      <c r="V95" s="14"/>
      <c r="W95" s="17"/>
      <c r="X95" s="17"/>
      <c r="Y95" s="17"/>
      <c r="Z95" s="13"/>
      <c r="AA95" s="13"/>
      <c r="AB95" s="13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3"/>
    </row>
    <row r="96" spans="1:45" customFormat="1" ht="36" customHeight="1" x14ac:dyDescent="0.25">
      <c r="A96" s="13"/>
      <c r="B96" s="14"/>
      <c r="C96" s="15"/>
      <c r="D96" s="15"/>
      <c r="E96" s="13"/>
      <c r="F96" s="34" t="str" cm="1">
        <f t="array" ref="F96">IF($A96="","",GetMatchingValue($XFD$8,"Original","Control Number",F$2,$A96))</f>
        <v/>
      </c>
      <c r="G96" s="34" t="str" cm="1">
        <f t="array" ref="G96">IF($A96="","",GetMatchingValue($XFD$8,"Original","Control Number",G$2,$A96))</f>
        <v/>
      </c>
      <c r="H96" s="34" t="str" cm="1">
        <f t="array" ref="H96">IF($A96="","",GetMatchingValue($XFD$8,"Original","Control Number",H$2,$A96))</f>
        <v/>
      </c>
      <c r="I96" s="13"/>
      <c r="J96" s="13" t="str" cm="1">
        <f t="array" ref="J96">IF($A96="","",CheckControlNumberExists($XFD$9, "Original", $A96))</f>
        <v/>
      </c>
      <c r="K96" s="34" t="str" cm="1">
        <f t="array" ref="K96">IF($A96="","",IF($J96="No","",GetMatchingValue($XFD$9,"Original","Control Number",K$2,$A96)))</f>
        <v/>
      </c>
      <c r="L96" s="34" t="str" cm="1">
        <f t="array" ref="L96">IF($A96="","",IF($J96="No","",GetMatchingValue($XFD$9,"Original","Control Number",L$2,$A96)))</f>
        <v/>
      </c>
      <c r="M96" s="13" t="str">
        <f t="shared" ca="1" si="3"/>
        <v/>
      </c>
      <c r="N96" s="16"/>
      <c r="O96" s="34" t="str" cm="1">
        <f t="array" ref="O96">IF($A96="","",IF($J96="No","",GetMatchingValue($XFD$9,"Original","Control Number",O$2,$A96)))</f>
        <v/>
      </c>
      <c r="P96" s="34" t="str" cm="1">
        <f t="array" ref="P96">IF($A96="","",IF($J96="No","",GetMatchingValue($XFD$9,"Original","Control Number",P$2,$A96)))</f>
        <v/>
      </c>
      <c r="Q96" s="34" t="str" cm="1">
        <f t="array" ref="Q96">IF($A96="","",IF($J96="No","",GetMatchingValue($XFD$9,"Original","Control Number",Q$2,$A96)))</f>
        <v/>
      </c>
      <c r="R96" s="34" t="str" cm="1">
        <f t="array" ref="R96">IF($A96="","",IF($J96="No","",GetMatchingValue($XFD$9,"Original","Control Number",R$2,$A96)))</f>
        <v/>
      </c>
      <c r="S96" s="34" t="str" cm="1">
        <f t="array" ref="S96">IF($A96="","",IF($J96="No","",GetMatchingValue($XFD$9,"Original","Control Number",S$2,$A96)))</f>
        <v/>
      </c>
      <c r="T96" s="34" t="str" cm="1">
        <f t="array" ref="T96">IF($A96="","",IF($J96="No","",GetMatchingValue($XFD$9,"Original","Control Number",T$2,$A96)))</f>
        <v/>
      </c>
      <c r="U96" s="34" t="str" cm="1">
        <f t="array" ref="U96">IF($A96="","",IF($J96="No","",GetMatchingValue($XFD$9,"Original","Control Number",U$2,$A96)))</f>
        <v/>
      </c>
      <c r="V96" s="14"/>
      <c r="W96" s="17"/>
      <c r="X96" s="17"/>
      <c r="Y96" s="17"/>
      <c r="Z96" s="13"/>
      <c r="AA96" s="13"/>
      <c r="AB96" s="13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3"/>
    </row>
    <row r="97" spans="1:45" customFormat="1" ht="36" customHeight="1" x14ac:dyDescent="0.25">
      <c r="A97" s="13"/>
      <c r="B97" s="14"/>
      <c r="C97" s="15"/>
      <c r="D97" s="15"/>
      <c r="E97" s="13"/>
      <c r="F97" s="34" t="str" cm="1">
        <f t="array" ref="F97">IF($A97="","",GetMatchingValue($XFD$8,"Original","Control Number",F$2,$A97))</f>
        <v/>
      </c>
      <c r="G97" s="34" t="str" cm="1">
        <f t="array" ref="G97">IF($A97="","",GetMatchingValue($XFD$8,"Original","Control Number",G$2,$A97))</f>
        <v/>
      </c>
      <c r="H97" s="34" t="str" cm="1">
        <f t="array" ref="H97">IF($A97="","",GetMatchingValue($XFD$8,"Original","Control Number",H$2,$A97))</f>
        <v/>
      </c>
      <c r="I97" s="13"/>
      <c r="J97" s="13" t="str" cm="1">
        <f t="array" ref="J97">IF($A97="","",CheckControlNumberExists($XFD$9, "Original", $A97))</f>
        <v/>
      </c>
      <c r="K97" s="34" t="str" cm="1">
        <f t="array" ref="K97">IF($A97="","",IF($J97="No","",GetMatchingValue($XFD$9,"Original","Control Number",K$2,$A97)))</f>
        <v/>
      </c>
      <c r="L97" s="34" t="str" cm="1">
        <f t="array" ref="L97">IF($A97="","",IF($J97="No","",GetMatchingValue($XFD$9,"Original","Control Number",L$2,$A97)))</f>
        <v/>
      </c>
      <c r="M97" s="13" t="str">
        <f t="shared" ca="1" si="3"/>
        <v/>
      </c>
      <c r="N97" s="16"/>
      <c r="O97" s="34" t="str" cm="1">
        <f t="array" ref="O97">IF($A97="","",IF($J97="No","",GetMatchingValue($XFD$9,"Original","Control Number",O$2,$A97)))</f>
        <v/>
      </c>
      <c r="P97" s="34" t="str" cm="1">
        <f t="array" ref="P97">IF($A97="","",IF($J97="No","",GetMatchingValue($XFD$9,"Original","Control Number",P$2,$A97)))</f>
        <v/>
      </c>
      <c r="Q97" s="34" t="str" cm="1">
        <f t="array" ref="Q97">IF($A97="","",IF($J97="No","",GetMatchingValue($XFD$9,"Original","Control Number",Q$2,$A97)))</f>
        <v/>
      </c>
      <c r="R97" s="34" t="str" cm="1">
        <f t="array" ref="R97">IF($A97="","",IF($J97="No","",GetMatchingValue($XFD$9,"Original","Control Number",R$2,$A97)))</f>
        <v/>
      </c>
      <c r="S97" s="34" t="str" cm="1">
        <f t="array" ref="S97">IF($A97="","",IF($J97="No","",GetMatchingValue($XFD$9,"Original","Control Number",S$2,$A97)))</f>
        <v/>
      </c>
      <c r="T97" s="34" t="str" cm="1">
        <f t="array" ref="T97">IF($A97="","",IF($J97="No","",GetMatchingValue($XFD$9,"Original","Control Number",T$2,$A97)))</f>
        <v/>
      </c>
      <c r="U97" s="34" t="str" cm="1">
        <f t="array" ref="U97">IF($A97="","",IF($J97="No","",GetMatchingValue($XFD$9,"Original","Control Number",U$2,$A97)))</f>
        <v/>
      </c>
      <c r="V97" s="14"/>
      <c r="W97" s="17"/>
      <c r="X97" s="17"/>
      <c r="Y97" s="17"/>
      <c r="Z97" s="13"/>
      <c r="AA97" s="13"/>
      <c r="AB97" s="13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3"/>
    </row>
    <row r="98" spans="1:45" customFormat="1" ht="36" customHeight="1" x14ac:dyDescent="0.25">
      <c r="A98" s="13"/>
      <c r="B98" s="14"/>
      <c r="C98" s="15"/>
      <c r="D98" s="15"/>
      <c r="E98" s="13"/>
      <c r="F98" s="34" t="str" cm="1">
        <f t="array" ref="F98">IF($A98="","",GetMatchingValue($XFD$8,"Original","Control Number",F$2,$A98))</f>
        <v/>
      </c>
      <c r="G98" s="34" t="str" cm="1">
        <f t="array" ref="G98">IF($A98="","",GetMatchingValue($XFD$8,"Original","Control Number",G$2,$A98))</f>
        <v/>
      </c>
      <c r="H98" s="34" t="str" cm="1">
        <f t="array" ref="H98">IF($A98="","",GetMatchingValue($XFD$8,"Original","Control Number",H$2,$A98))</f>
        <v/>
      </c>
      <c r="I98" s="13"/>
      <c r="J98" s="13" t="str" cm="1">
        <f t="array" ref="J98">IF($A98="","",CheckControlNumberExists($XFD$9, "Original", $A98))</f>
        <v/>
      </c>
      <c r="K98" s="34" t="str" cm="1">
        <f t="array" ref="K98">IF($A98="","",IF($J98="No","",GetMatchingValue($XFD$9,"Original","Control Number",K$2,$A98)))</f>
        <v/>
      </c>
      <c r="L98" s="34" t="str" cm="1">
        <f t="array" ref="L98">IF($A98="","",IF($J98="No","",GetMatchingValue($XFD$9,"Original","Control Number",L$2,$A98)))</f>
        <v/>
      </c>
      <c r="M98" s="13" t="str">
        <f t="shared" ca="1" si="3"/>
        <v/>
      </c>
      <c r="N98" s="16"/>
      <c r="O98" s="34" t="str" cm="1">
        <f t="array" ref="O98">IF($A98="","",IF($J98="No","",GetMatchingValue($XFD$9,"Original","Control Number",O$2,$A98)))</f>
        <v/>
      </c>
      <c r="P98" s="34" t="str" cm="1">
        <f t="array" ref="P98">IF($A98="","",IF($J98="No","",GetMatchingValue($XFD$9,"Original","Control Number",P$2,$A98)))</f>
        <v/>
      </c>
      <c r="Q98" s="34" t="str" cm="1">
        <f t="array" ref="Q98">IF($A98="","",IF($J98="No","",GetMatchingValue($XFD$9,"Original","Control Number",Q$2,$A98)))</f>
        <v/>
      </c>
      <c r="R98" s="34" t="str" cm="1">
        <f t="array" ref="R98">IF($A98="","",IF($J98="No","",GetMatchingValue($XFD$9,"Original","Control Number",R$2,$A98)))</f>
        <v/>
      </c>
      <c r="S98" s="34" t="str" cm="1">
        <f t="array" ref="S98">IF($A98="","",IF($J98="No","",GetMatchingValue($XFD$9,"Original","Control Number",S$2,$A98)))</f>
        <v/>
      </c>
      <c r="T98" s="34" t="str" cm="1">
        <f t="array" ref="T98">IF($A98="","",IF($J98="No","",GetMatchingValue($XFD$9,"Original","Control Number",T$2,$A98)))</f>
        <v/>
      </c>
      <c r="U98" s="34" t="str" cm="1">
        <f t="array" ref="U98">IF($A98="","",IF($J98="No","",GetMatchingValue($XFD$9,"Original","Control Number",U$2,$A98)))</f>
        <v/>
      </c>
      <c r="V98" s="14"/>
      <c r="W98" s="17"/>
      <c r="X98" s="17"/>
      <c r="Y98" s="17"/>
      <c r="Z98" s="13"/>
      <c r="AA98" s="13"/>
      <c r="AB98" s="13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3"/>
    </row>
    <row r="99" spans="1:45" customFormat="1" ht="36" customHeight="1" x14ac:dyDescent="0.25">
      <c r="A99" s="13"/>
      <c r="B99" s="14"/>
      <c r="C99" s="15"/>
      <c r="D99" s="15"/>
      <c r="E99" s="13"/>
      <c r="F99" s="34" t="str" cm="1">
        <f t="array" ref="F99">IF($A99="","",GetMatchingValue($XFD$8,"Original","Control Number",F$2,$A99))</f>
        <v/>
      </c>
      <c r="G99" s="34" t="str" cm="1">
        <f t="array" ref="G99">IF($A99="","",GetMatchingValue($XFD$8,"Original","Control Number",G$2,$A99))</f>
        <v/>
      </c>
      <c r="H99" s="34" t="str" cm="1">
        <f t="array" ref="H99">IF($A99="","",GetMatchingValue($XFD$8,"Original","Control Number",H$2,$A99))</f>
        <v/>
      </c>
      <c r="I99" s="13"/>
      <c r="J99" s="13" t="str" cm="1">
        <f t="array" ref="J99">IF($A99="","",CheckControlNumberExists($XFD$9, "Original", $A99))</f>
        <v/>
      </c>
      <c r="K99" s="34" t="str" cm="1">
        <f t="array" ref="K99">IF($A99="","",IF($J99="No","",GetMatchingValue($XFD$9,"Original","Control Number",K$2,$A99)))</f>
        <v/>
      </c>
      <c r="L99" s="34" t="str" cm="1">
        <f t="array" ref="L99">IF($A99="","",IF($J99="No","",GetMatchingValue($XFD$9,"Original","Control Number",L$2,$A99)))</f>
        <v/>
      </c>
      <c r="M99" s="13" t="str">
        <f t="shared" ca="1" si="3"/>
        <v/>
      </c>
      <c r="N99" s="16"/>
      <c r="O99" s="34" t="str" cm="1">
        <f t="array" ref="O99">IF($A99="","",IF($J99="No","",GetMatchingValue($XFD$9,"Original","Control Number",O$2,$A99)))</f>
        <v/>
      </c>
      <c r="P99" s="34" t="str" cm="1">
        <f t="array" ref="P99">IF($A99="","",IF($J99="No","",GetMatchingValue($XFD$9,"Original","Control Number",P$2,$A99)))</f>
        <v/>
      </c>
      <c r="Q99" s="34" t="str" cm="1">
        <f t="array" ref="Q99">IF($A99="","",IF($J99="No","",GetMatchingValue($XFD$9,"Original","Control Number",Q$2,$A99)))</f>
        <v/>
      </c>
      <c r="R99" s="34" t="str" cm="1">
        <f t="array" ref="R99">IF($A99="","",IF($J99="No","",GetMatchingValue($XFD$9,"Original","Control Number",R$2,$A99)))</f>
        <v/>
      </c>
      <c r="S99" s="34" t="str" cm="1">
        <f t="array" ref="S99">IF($A99="","",IF($J99="No","",GetMatchingValue($XFD$9,"Original","Control Number",S$2,$A99)))</f>
        <v/>
      </c>
      <c r="T99" s="34" t="str" cm="1">
        <f t="array" ref="T99">IF($A99="","",IF($J99="No","",GetMatchingValue($XFD$9,"Original","Control Number",T$2,$A99)))</f>
        <v/>
      </c>
      <c r="U99" s="34" t="str" cm="1">
        <f t="array" ref="U99">IF($A99="","",IF($J99="No","",GetMatchingValue($XFD$9,"Original","Control Number",U$2,$A99)))</f>
        <v/>
      </c>
      <c r="V99" s="14"/>
      <c r="W99" s="17"/>
      <c r="X99" s="17"/>
      <c r="Y99" s="17"/>
      <c r="Z99" s="13"/>
      <c r="AA99" s="13"/>
      <c r="AB99" s="13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3"/>
    </row>
    <row r="100" spans="1:45" customFormat="1" ht="36" customHeight="1" x14ac:dyDescent="0.25">
      <c r="A100" s="13"/>
      <c r="B100" s="14"/>
      <c r="C100" s="15"/>
      <c r="D100" s="15"/>
      <c r="E100" s="13"/>
      <c r="F100" s="34" t="str" cm="1">
        <f t="array" ref="F100">IF($A100="","",GetMatchingValue($XFD$8,"Original","Control Number",F$2,$A100))</f>
        <v/>
      </c>
      <c r="G100" s="34" t="str" cm="1">
        <f t="array" ref="G100">IF($A100="","",GetMatchingValue($XFD$8,"Original","Control Number",G$2,$A100))</f>
        <v/>
      </c>
      <c r="H100" s="34" t="str" cm="1">
        <f t="array" ref="H100">IF($A100="","",GetMatchingValue($XFD$8,"Original","Control Number",H$2,$A100))</f>
        <v/>
      </c>
      <c r="I100" s="13"/>
      <c r="J100" s="13" t="str" cm="1">
        <f t="array" ref="J100">IF($A100="","",CheckControlNumberExists($XFD$9, "Original", $A100))</f>
        <v/>
      </c>
      <c r="K100" s="34" t="str" cm="1">
        <f t="array" ref="K100">IF($A100="","",IF($J100="No","",GetMatchingValue($XFD$9,"Original","Control Number",K$2,$A100)))</f>
        <v/>
      </c>
      <c r="L100" s="34" t="str" cm="1">
        <f t="array" ref="L100">IF($A100="","",IF($J100="No","",GetMatchingValue($XFD$9,"Original","Control Number",L$2,$A100)))</f>
        <v/>
      </c>
      <c r="M100" s="13" t="str">
        <f t="shared" ca="1" si="3"/>
        <v/>
      </c>
      <c r="N100" s="16"/>
      <c r="O100" s="34" t="str" cm="1">
        <f t="array" ref="O100">IF($A100="","",IF($J100="No","",GetMatchingValue($XFD$9,"Original","Control Number",O$2,$A100)))</f>
        <v/>
      </c>
      <c r="P100" s="34" t="str" cm="1">
        <f t="array" ref="P100">IF($A100="","",IF($J100="No","",GetMatchingValue($XFD$9,"Original","Control Number",P$2,$A100)))</f>
        <v/>
      </c>
      <c r="Q100" s="34" t="str" cm="1">
        <f t="array" ref="Q100">IF($A100="","",IF($J100="No","",GetMatchingValue($XFD$9,"Original","Control Number",Q$2,$A100)))</f>
        <v/>
      </c>
      <c r="R100" s="34" t="str" cm="1">
        <f t="array" ref="R100">IF($A100="","",IF($J100="No","",GetMatchingValue($XFD$9,"Original","Control Number",R$2,$A100)))</f>
        <v/>
      </c>
      <c r="S100" s="34" t="str" cm="1">
        <f t="array" ref="S100">IF($A100="","",IF($J100="No","",GetMatchingValue($XFD$9,"Original","Control Number",S$2,$A100)))</f>
        <v/>
      </c>
      <c r="T100" s="34" t="str" cm="1">
        <f t="array" ref="T100">IF($A100="","",IF($J100="No","",GetMatchingValue($XFD$9,"Original","Control Number",T$2,$A100)))</f>
        <v/>
      </c>
      <c r="U100" s="34" t="str" cm="1">
        <f t="array" ref="U100">IF($A100="","",IF($J100="No","",GetMatchingValue($XFD$9,"Original","Control Number",U$2,$A100)))</f>
        <v/>
      </c>
      <c r="V100" s="14"/>
      <c r="W100" s="17"/>
      <c r="X100" s="17"/>
      <c r="Y100" s="17"/>
      <c r="Z100" s="13"/>
      <c r="AA100" s="13"/>
      <c r="AB100" s="13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3"/>
    </row>
    <row r="101" spans="1:45" customFormat="1" ht="36" customHeight="1" x14ac:dyDescent="0.25">
      <c r="A101" s="13"/>
      <c r="B101" s="14"/>
      <c r="C101" s="15"/>
      <c r="D101" s="15"/>
      <c r="E101" s="13"/>
      <c r="F101" s="34" t="str" cm="1">
        <f t="array" ref="F101">IF($A101="","",GetMatchingValue($XFD$8,"Original","Control Number",F$2,$A101))</f>
        <v/>
      </c>
      <c r="G101" s="34" t="str" cm="1">
        <f t="array" ref="G101">IF($A101="","",GetMatchingValue($XFD$8,"Original","Control Number",G$2,$A101))</f>
        <v/>
      </c>
      <c r="H101" s="34" t="str" cm="1">
        <f t="array" ref="H101">IF($A101="","",GetMatchingValue($XFD$8,"Original","Control Number",H$2,$A101))</f>
        <v/>
      </c>
      <c r="I101" s="13"/>
      <c r="J101" s="13" t="str" cm="1">
        <f t="array" ref="J101">IF($A101="","",CheckControlNumberExists($XFD$9, "Original", $A101))</f>
        <v/>
      </c>
      <c r="K101" s="34" t="str" cm="1">
        <f t="array" ref="K101">IF($A101="","",IF($J101="No","",GetMatchingValue($XFD$9,"Original","Control Number",K$2,$A101)))</f>
        <v/>
      </c>
      <c r="L101" s="34" t="str" cm="1">
        <f t="array" ref="L101">IF($A101="","",IF($J101="No","",GetMatchingValue($XFD$9,"Original","Control Number",L$2,$A101)))</f>
        <v/>
      </c>
      <c r="M101" s="13" t="str">
        <f t="shared" ca="1" si="3"/>
        <v/>
      </c>
      <c r="N101" s="16"/>
      <c r="O101" s="34" t="str" cm="1">
        <f t="array" ref="O101">IF($A101="","",IF($J101="No","",GetMatchingValue($XFD$9,"Original","Control Number",O$2,$A101)))</f>
        <v/>
      </c>
      <c r="P101" s="34" t="str" cm="1">
        <f t="array" ref="P101">IF($A101="","",IF($J101="No","",GetMatchingValue($XFD$9,"Original","Control Number",P$2,$A101)))</f>
        <v/>
      </c>
      <c r="Q101" s="34" t="str" cm="1">
        <f t="array" ref="Q101">IF($A101="","",IF($J101="No","",GetMatchingValue($XFD$9,"Original","Control Number",Q$2,$A101)))</f>
        <v/>
      </c>
      <c r="R101" s="34" t="str" cm="1">
        <f t="array" ref="R101">IF($A101="","",IF($J101="No","",GetMatchingValue($XFD$9,"Original","Control Number",R$2,$A101)))</f>
        <v/>
      </c>
      <c r="S101" s="34" t="str" cm="1">
        <f t="array" ref="S101">IF($A101="","",IF($J101="No","",GetMatchingValue($XFD$9,"Original","Control Number",S$2,$A101)))</f>
        <v/>
      </c>
      <c r="T101" s="34" t="str" cm="1">
        <f t="array" ref="T101">IF($A101="","",IF($J101="No","",GetMatchingValue($XFD$9,"Original","Control Number",T$2,$A101)))</f>
        <v/>
      </c>
      <c r="U101" s="34" t="str" cm="1">
        <f t="array" ref="U101">IF($A101="","",IF($J101="No","",GetMatchingValue($XFD$9,"Original","Control Number",U$2,$A101)))</f>
        <v/>
      </c>
      <c r="V101" s="14"/>
      <c r="W101" s="17"/>
      <c r="X101" s="17"/>
      <c r="Y101" s="17"/>
      <c r="Z101" s="13"/>
      <c r="AA101" s="13"/>
      <c r="AB101" s="13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3"/>
    </row>
    <row r="102" spans="1:45" customFormat="1" ht="36" customHeight="1" x14ac:dyDescent="0.25">
      <c r="A102" s="13"/>
      <c r="B102" s="14"/>
      <c r="C102" s="15"/>
      <c r="D102" s="15"/>
      <c r="E102" s="13"/>
      <c r="F102" s="34" t="str" cm="1">
        <f t="array" ref="F102">IF($A102="","",GetMatchingValue($XFD$8,"Original","Control Number",F$2,$A102))</f>
        <v/>
      </c>
      <c r="G102" s="34" t="str" cm="1">
        <f t="array" ref="G102">IF($A102="","",GetMatchingValue($XFD$8,"Original","Control Number",G$2,$A102))</f>
        <v/>
      </c>
      <c r="H102" s="34" t="str" cm="1">
        <f t="array" ref="H102">IF($A102="","",GetMatchingValue($XFD$8,"Original","Control Number",H$2,$A102))</f>
        <v/>
      </c>
      <c r="I102" s="13"/>
      <c r="J102" s="13" t="str" cm="1">
        <f t="array" ref="J102">IF($A102="","",CheckControlNumberExists($XFD$9, "Original", $A102))</f>
        <v/>
      </c>
      <c r="K102" s="34" t="str" cm="1">
        <f t="array" ref="K102">IF($A102="","",IF($J102="No","",GetMatchingValue($XFD$9,"Original","Control Number",K$2,$A102)))</f>
        <v/>
      </c>
      <c r="L102" s="34" t="str" cm="1">
        <f t="array" ref="L102">IF($A102="","",IF($J102="No","",GetMatchingValue($XFD$9,"Original","Control Number",L$2,$A102)))</f>
        <v/>
      </c>
      <c r="M102" s="13" t="str">
        <f t="shared" ca="1" si="3"/>
        <v/>
      </c>
      <c r="N102" s="16"/>
      <c r="O102" s="34" t="str" cm="1">
        <f t="array" ref="O102">IF($A102="","",IF($J102="No","",GetMatchingValue($XFD$9,"Original","Control Number",O$2,$A102)))</f>
        <v/>
      </c>
      <c r="P102" s="34" t="str" cm="1">
        <f t="array" ref="P102">IF($A102="","",IF($J102="No","",GetMatchingValue($XFD$9,"Original","Control Number",P$2,$A102)))</f>
        <v/>
      </c>
      <c r="Q102" s="34" t="str" cm="1">
        <f t="array" ref="Q102">IF($A102="","",IF($J102="No","",GetMatchingValue($XFD$9,"Original","Control Number",Q$2,$A102)))</f>
        <v/>
      </c>
      <c r="R102" s="34" t="str" cm="1">
        <f t="array" ref="R102">IF($A102="","",IF($J102="No","",GetMatchingValue($XFD$9,"Original","Control Number",R$2,$A102)))</f>
        <v/>
      </c>
      <c r="S102" s="34" t="str" cm="1">
        <f t="array" ref="S102">IF($A102="","",IF($J102="No","",GetMatchingValue($XFD$9,"Original","Control Number",S$2,$A102)))</f>
        <v/>
      </c>
      <c r="T102" s="34" t="str" cm="1">
        <f t="array" ref="T102">IF($A102="","",IF($J102="No","",GetMatchingValue($XFD$9,"Original","Control Number",T$2,$A102)))</f>
        <v/>
      </c>
      <c r="U102" s="34" t="str" cm="1">
        <f t="array" ref="U102">IF($A102="","",IF($J102="No","",GetMatchingValue($XFD$9,"Original","Control Number",U$2,$A102)))</f>
        <v/>
      </c>
      <c r="V102" s="14"/>
      <c r="W102" s="17"/>
      <c r="X102" s="17"/>
      <c r="Y102" s="17"/>
      <c r="Z102" s="13"/>
      <c r="AA102" s="13"/>
      <c r="AB102" s="13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3"/>
    </row>
    <row r="103" spans="1:45" customFormat="1" ht="36" customHeight="1" x14ac:dyDescent="0.25">
      <c r="A103" s="13"/>
      <c r="B103" s="14"/>
      <c r="C103" s="15"/>
      <c r="D103" s="15"/>
      <c r="E103" s="13"/>
      <c r="F103" s="34" t="str" cm="1">
        <f t="array" ref="F103">IF($A103="","",GetMatchingValue($XFD$8,"Original","Control Number",F$2,$A103))</f>
        <v/>
      </c>
      <c r="G103" s="34" t="str" cm="1">
        <f t="array" ref="G103">IF($A103="","",GetMatchingValue($XFD$8,"Original","Control Number",G$2,$A103))</f>
        <v/>
      </c>
      <c r="H103" s="34" t="str" cm="1">
        <f t="array" ref="H103">IF($A103="","",GetMatchingValue($XFD$8,"Original","Control Number",H$2,$A103))</f>
        <v/>
      </c>
      <c r="I103" s="13"/>
      <c r="J103" s="13" t="str" cm="1">
        <f t="array" ref="J103">IF($A103="","",CheckControlNumberExists($XFD$9, "Original", $A103))</f>
        <v/>
      </c>
      <c r="K103" s="34" t="str" cm="1">
        <f t="array" ref="K103">IF($A103="","",IF($J103="No","",GetMatchingValue($XFD$9,"Original","Control Number",K$2,$A103)))</f>
        <v/>
      </c>
      <c r="L103" s="34" t="str" cm="1">
        <f t="array" ref="L103">IF($A103="","",IF($J103="No","",GetMatchingValue($XFD$9,"Original","Control Number",L$2,$A103)))</f>
        <v/>
      </c>
      <c r="M103" s="13" t="str">
        <f t="shared" ca="1" si="3"/>
        <v/>
      </c>
      <c r="N103" s="16"/>
      <c r="O103" s="34" t="str" cm="1">
        <f t="array" ref="O103">IF($A103="","",IF($J103="No","",GetMatchingValue($XFD$9,"Original","Control Number",O$2,$A103)))</f>
        <v/>
      </c>
      <c r="P103" s="34" t="str" cm="1">
        <f t="array" ref="P103">IF($A103="","",IF($J103="No","",GetMatchingValue($XFD$9,"Original","Control Number",P$2,$A103)))</f>
        <v/>
      </c>
      <c r="Q103" s="34" t="str" cm="1">
        <f t="array" ref="Q103">IF($A103="","",IF($J103="No","",GetMatchingValue($XFD$9,"Original","Control Number",Q$2,$A103)))</f>
        <v/>
      </c>
      <c r="R103" s="34" t="str" cm="1">
        <f t="array" ref="R103">IF($A103="","",IF($J103="No","",GetMatchingValue($XFD$9,"Original","Control Number",R$2,$A103)))</f>
        <v/>
      </c>
      <c r="S103" s="34" t="str" cm="1">
        <f t="array" ref="S103">IF($A103="","",IF($J103="No","",GetMatchingValue($XFD$9,"Original","Control Number",S$2,$A103)))</f>
        <v/>
      </c>
      <c r="T103" s="34" t="str" cm="1">
        <f t="array" ref="T103">IF($A103="","",IF($J103="No","",GetMatchingValue($XFD$9,"Original","Control Number",T$2,$A103)))</f>
        <v/>
      </c>
      <c r="U103" s="34" t="str" cm="1">
        <f t="array" ref="U103">IF($A103="","",IF($J103="No","",GetMatchingValue($XFD$9,"Original","Control Number",U$2,$A103)))</f>
        <v/>
      </c>
      <c r="V103" s="14"/>
      <c r="W103" s="17"/>
      <c r="X103" s="17"/>
      <c r="Y103" s="17"/>
      <c r="Z103" s="13"/>
      <c r="AA103" s="13"/>
      <c r="AB103" s="13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3"/>
    </row>
    <row r="104" spans="1:45" customFormat="1" ht="36" customHeight="1" x14ac:dyDescent="0.25">
      <c r="A104" s="13"/>
      <c r="B104" s="14"/>
      <c r="C104" s="15"/>
      <c r="D104" s="15"/>
      <c r="E104" s="13"/>
      <c r="F104" s="34" t="str" cm="1">
        <f t="array" ref="F104">IF($A104="","",GetMatchingValue($XFD$8,"Original","Control Number",F$2,$A104))</f>
        <v/>
      </c>
      <c r="G104" s="34" t="str" cm="1">
        <f t="array" ref="G104">IF($A104="","",GetMatchingValue($XFD$8,"Original","Control Number",G$2,$A104))</f>
        <v/>
      </c>
      <c r="H104" s="34" t="str" cm="1">
        <f t="array" ref="H104">IF($A104="","",GetMatchingValue($XFD$8,"Original","Control Number",H$2,$A104))</f>
        <v/>
      </c>
      <c r="I104" s="13"/>
      <c r="J104" s="13" t="str" cm="1">
        <f t="array" ref="J104">IF($A104="","",CheckControlNumberExists($XFD$9, "Original", $A104))</f>
        <v/>
      </c>
      <c r="K104" s="34" t="str" cm="1">
        <f t="array" ref="K104">IF($A104="","",IF($J104="No","",GetMatchingValue($XFD$9,"Original","Control Number",K$2,$A104)))</f>
        <v/>
      </c>
      <c r="L104" s="34" t="str" cm="1">
        <f t="array" ref="L104">IF($A104="","",IF($J104="No","",GetMatchingValue($XFD$9,"Original","Control Number",L$2,$A104)))</f>
        <v/>
      </c>
      <c r="M104" s="13" t="str">
        <f t="shared" ca="1" si="3"/>
        <v/>
      </c>
      <c r="N104" s="16"/>
      <c r="O104" s="34" t="str" cm="1">
        <f t="array" ref="O104">IF($A104="","",IF($J104="No","",GetMatchingValue($XFD$9,"Original","Control Number",O$2,$A104)))</f>
        <v/>
      </c>
      <c r="P104" s="34" t="str" cm="1">
        <f t="array" ref="P104">IF($A104="","",IF($J104="No","",GetMatchingValue($XFD$9,"Original","Control Number",P$2,$A104)))</f>
        <v/>
      </c>
      <c r="Q104" s="34" t="str" cm="1">
        <f t="array" ref="Q104">IF($A104="","",IF($J104="No","",GetMatchingValue($XFD$9,"Original","Control Number",Q$2,$A104)))</f>
        <v/>
      </c>
      <c r="R104" s="34" t="str" cm="1">
        <f t="array" ref="R104">IF($A104="","",IF($J104="No","",GetMatchingValue($XFD$9,"Original","Control Number",R$2,$A104)))</f>
        <v/>
      </c>
      <c r="S104" s="34" t="str" cm="1">
        <f t="array" ref="S104">IF($A104="","",IF($J104="No","",GetMatchingValue($XFD$9,"Original","Control Number",S$2,$A104)))</f>
        <v/>
      </c>
      <c r="T104" s="34" t="str" cm="1">
        <f t="array" ref="T104">IF($A104="","",IF($J104="No","",GetMatchingValue($XFD$9,"Original","Control Number",T$2,$A104)))</f>
        <v/>
      </c>
      <c r="U104" s="34" t="str" cm="1">
        <f t="array" ref="U104">IF($A104="","",IF($J104="No","",GetMatchingValue($XFD$9,"Original","Control Number",U$2,$A104)))</f>
        <v/>
      </c>
      <c r="V104" s="14"/>
      <c r="W104" s="17"/>
      <c r="X104" s="17"/>
      <c r="Y104" s="17"/>
      <c r="Z104" s="13"/>
      <c r="AA104" s="13"/>
      <c r="AB104" s="13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3"/>
    </row>
    <row r="105" spans="1:45" customFormat="1" ht="36" customHeight="1" x14ac:dyDescent="0.25">
      <c r="A105" s="13"/>
      <c r="B105" s="14"/>
      <c r="C105" s="15"/>
      <c r="D105" s="15"/>
      <c r="E105" s="13"/>
      <c r="F105" s="34" t="str" cm="1">
        <f t="array" ref="F105">IF($A105="","",GetMatchingValue($XFD$8,"Original","Control Number",F$2,$A105))</f>
        <v/>
      </c>
      <c r="G105" s="34" t="str" cm="1">
        <f t="array" ref="G105">IF($A105="","",GetMatchingValue($XFD$8,"Original","Control Number",G$2,$A105))</f>
        <v/>
      </c>
      <c r="H105" s="34" t="str" cm="1">
        <f t="array" ref="H105">IF($A105="","",GetMatchingValue($XFD$8,"Original","Control Number",H$2,$A105))</f>
        <v/>
      </c>
      <c r="I105" s="13"/>
      <c r="J105" s="13" t="str" cm="1">
        <f t="array" ref="J105">IF($A105="","",CheckControlNumberExists($XFD$9, "Original", $A105))</f>
        <v/>
      </c>
      <c r="K105" s="34" t="str" cm="1">
        <f t="array" ref="K105">IF($A105="","",IF($J105="No","",GetMatchingValue($XFD$9,"Original","Control Number",K$2,$A105)))</f>
        <v/>
      </c>
      <c r="L105" s="34" t="str" cm="1">
        <f t="array" ref="L105">IF($A105="","",IF($J105="No","",GetMatchingValue($XFD$9,"Original","Control Number",L$2,$A105)))</f>
        <v/>
      </c>
      <c r="M105" s="13" t="str">
        <f t="shared" ca="1" si="3"/>
        <v/>
      </c>
      <c r="N105" s="16"/>
      <c r="O105" s="34" t="str" cm="1">
        <f t="array" ref="O105">IF($A105="","",IF($J105="No","",GetMatchingValue($XFD$9,"Original","Control Number",O$2,$A105)))</f>
        <v/>
      </c>
      <c r="P105" s="34" t="str" cm="1">
        <f t="array" ref="P105">IF($A105="","",IF($J105="No","",GetMatchingValue($XFD$9,"Original","Control Number",P$2,$A105)))</f>
        <v/>
      </c>
      <c r="Q105" s="34" t="str" cm="1">
        <f t="array" ref="Q105">IF($A105="","",IF($J105="No","",GetMatchingValue($XFD$9,"Original","Control Number",Q$2,$A105)))</f>
        <v/>
      </c>
      <c r="R105" s="34" t="str" cm="1">
        <f t="array" ref="R105">IF($A105="","",IF($J105="No","",GetMatchingValue($XFD$9,"Original","Control Number",R$2,$A105)))</f>
        <v/>
      </c>
      <c r="S105" s="34" t="str" cm="1">
        <f t="array" ref="S105">IF($A105="","",IF($J105="No","",GetMatchingValue($XFD$9,"Original","Control Number",S$2,$A105)))</f>
        <v/>
      </c>
      <c r="T105" s="34" t="str" cm="1">
        <f t="array" ref="T105">IF($A105="","",IF($J105="No","",GetMatchingValue($XFD$9,"Original","Control Number",T$2,$A105)))</f>
        <v/>
      </c>
      <c r="U105" s="34" t="str" cm="1">
        <f t="array" ref="U105">IF($A105="","",IF($J105="No","",GetMatchingValue($XFD$9,"Original","Control Number",U$2,$A105)))</f>
        <v/>
      </c>
      <c r="V105" s="14"/>
      <c r="W105" s="17"/>
      <c r="X105" s="17"/>
      <c r="Y105" s="17"/>
      <c r="Z105" s="13"/>
      <c r="AA105" s="13"/>
      <c r="AB105" s="13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3"/>
    </row>
    <row r="106" spans="1:45" customFormat="1" ht="36" customHeight="1" x14ac:dyDescent="0.25">
      <c r="A106" s="19"/>
      <c r="B106" s="14"/>
      <c r="C106" s="15"/>
      <c r="D106" s="15"/>
      <c r="E106" s="13"/>
      <c r="F106" s="34" t="str" cm="1">
        <f t="array" ref="F106">IF($A106="","",GetMatchingValue($XFD$8,"Original","Control Number",F$2,$A106))</f>
        <v/>
      </c>
      <c r="G106" s="34" t="str" cm="1">
        <f t="array" ref="G106">IF($A106="","",GetMatchingValue($XFD$8,"Original","Control Number",G$2,$A106))</f>
        <v/>
      </c>
      <c r="H106" s="34" t="str" cm="1">
        <f t="array" ref="H106">IF($A106="","",GetMatchingValue($XFD$8,"Original","Control Number",H$2,$A106))</f>
        <v/>
      </c>
      <c r="I106" s="13"/>
      <c r="J106" s="13" t="str" cm="1">
        <f t="array" ref="J106">IF($A106="","",CheckControlNumberExists($XFD$9, "Original", $A106))</f>
        <v/>
      </c>
      <c r="K106" s="34" t="str" cm="1">
        <f t="array" ref="K106">IF($A106="","",IF($J106="No","",GetMatchingValue($XFD$9,"Original","Control Number",K$2,$A106)))</f>
        <v/>
      </c>
      <c r="L106" s="34" t="str" cm="1">
        <f t="array" ref="L106">IF($A106="","",IF($J106="No","",GetMatchingValue($XFD$9,"Original","Control Number",L$2,$A106)))</f>
        <v/>
      </c>
      <c r="M106" s="13" t="str">
        <f t="shared" ca="1" si="3"/>
        <v/>
      </c>
      <c r="N106" s="16"/>
      <c r="O106" s="34" t="str" cm="1">
        <f t="array" ref="O106">IF($A106="","",IF($J106="No","",GetMatchingValue($XFD$9,"Original","Control Number",O$2,$A106)))</f>
        <v/>
      </c>
      <c r="P106" s="34" t="str" cm="1">
        <f t="array" ref="P106">IF($A106="","",IF($J106="No","",GetMatchingValue($XFD$9,"Original","Control Number",P$2,$A106)))</f>
        <v/>
      </c>
      <c r="Q106" s="34" t="str" cm="1">
        <f t="array" ref="Q106">IF($A106="","",IF($J106="No","",GetMatchingValue($XFD$9,"Original","Control Number",Q$2,$A106)))</f>
        <v/>
      </c>
      <c r="R106" s="34" t="str" cm="1">
        <f t="array" ref="R106">IF($A106="","",IF($J106="No","",GetMatchingValue($XFD$9,"Original","Control Number",R$2,$A106)))</f>
        <v/>
      </c>
      <c r="S106" s="34" t="str" cm="1">
        <f t="array" ref="S106">IF($A106="","",IF($J106="No","",GetMatchingValue($XFD$9,"Original","Control Number",S$2,$A106)))</f>
        <v/>
      </c>
      <c r="T106" s="34" t="str" cm="1">
        <f t="array" ref="T106">IF($A106="","",IF($J106="No","",GetMatchingValue($XFD$9,"Original","Control Number",T$2,$A106)))</f>
        <v/>
      </c>
      <c r="U106" s="34" t="str" cm="1">
        <f t="array" ref="U106">IF($A106="","",IF($J106="No","",GetMatchingValue($XFD$9,"Original","Control Number",U$2,$A106)))</f>
        <v/>
      </c>
      <c r="V106" s="14"/>
      <c r="W106" s="17"/>
      <c r="X106" s="17"/>
      <c r="Y106" s="17"/>
      <c r="Z106" s="13"/>
      <c r="AA106" s="13"/>
      <c r="AB106" s="13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3"/>
    </row>
    <row r="107" spans="1:45" customFormat="1" ht="36" customHeight="1" x14ac:dyDescent="0.25">
      <c r="A107" s="18"/>
      <c r="B107" s="14"/>
      <c r="C107" s="15"/>
      <c r="D107" s="15"/>
      <c r="E107" s="13"/>
      <c r="F107" s="34" t="str" cm="1">
        <f t="array" ref="F107">IF($A107="","",GetMatchingValue($XFD$8,"Original","Control Number",F$2,$A107))</f>
        <v/>
      </c>
      <c r="G107" s="34" t="str" cm="1">
        <f t="array" ref="G107">IF($A107="","",GetMatchingValue($XFD$8,"Original","Control Number",G$2,$A107))</f>
        <v/>
      </c>
      <c r="H107" s="34" t="str" cm="1">
        <f t="array" ref="H107">IF($A107="","",GetMatchingValue($XFD$8,"Original","Control Number",H$2,$A107))</f>
        <v/>
      </c>
      <c r="I107" s="13"/>
      <c r="J107" s="13" t="str" cm="1">
        <f t="array" ref="J107">IF($A107="","",CheckControlNumberExists($XFD$9, "Original", $A107))</f>
        <v/>
      </c>
      <c r="K107" s="34" t="str" cm="1">
        <f t="array" ref="K107">IF($A107="","",IF($J107="No","",GetMatchingValue($XFD$9,"Original","Control Number",K$2,$A107)))</f>
        <v/>
      </c>
      <c r="L107" s="34" t="str" cm="1">
        <f t="array" ref="L107">IF($A107="","",IF($J107="No","",GetMatchingValue($XFD$9,"Original","Control Number",L$2,$A107)))</f>
        <v/>
      </c>
      <c r="M107" s="13" t="str">
        <f t="shared" ca="1" si="3"/>
        <v/>
      </c>
      <c r="N107" s="16"/>
      <c r="O107" s="34" t="str" cm="1">
        <f t="array" ref="O107">IF($A107="","",IF($J107="No","",GetMatchingValue($XFD$9,"Original","Control Number",O$2,$A107)))</f>
        <v/>
      </c>
      <c r="P107" s="34" t="str" cm="1">
        <f t="array" ref="P107">IF($A107="","",IF($J107="No","",GetMatchingValue($XFD$9,"Original","Control Number",P$2,$A107)))</f>
        <v/>
      </c>
      <c r="Q107" s="34" t="str" cm="1">
        <f t="array" ref="Q107">IF($A107="","",IF($J107="No","",GetMatchingValue($XFD$9,"Original","Control Number",Q$2,$A107)))</f>
        <v/>
      </c>
      <c r="R107" s="34" t="str" cm="1">
        <f t="array" ref="R107">IF($A107="","",IF($J107="No","",GetMatchingValue($XFD$9,"Original","Control Number",R$2,$A107)))</f>
        <v/>
      </c>
      <c r="S107" s="34" t="str" cm="1">
        <f t="array" ref="S107">IF($A107="","",IF($J107="No","",GetMatchingValue($XFD$9,"Original","Control Number",S$2,$A107)))</f>
        <v/>
      </c>
      <c r="T107" s="34" t="str" cm="1">
        <f t="array" ref="T107">IF($A107="","",IF($J107="No","",GetMatchingValue($XFD$9,"Original","Control Number",T$2,$A107)))</f>
        <v/>
      </c>
      <c r="U107" s="34" t="str" cm="1">
        <f t="array" ref="U107">IF($A107="","",IF($J107="No","",GetMatchingValue($XFD$9,"Original","Control Number",U$2,$A107)))</f>
        <v/>
      </c>
      <c r="V107" s="14"/>
      <c r="W107" s="17"/>
      <c r="X107" s="17"/>
      <c r="Y107" s="17"/>
      <c r="Z107" s="13"/>
      <c r="AA107" s="13"/>
      <c r="AB107" s="13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3"/>
    </row>
    <row r="108" spans="1:45" customFormat="1" ht="36" customHeight="1" x14ac:dyDescent="0.25">
      <c r="A108" s="13"/>
      <c r="B108" s="14"/>
      <c r="C108" s="15"/>
      <c r="D108" s="15"/>
      <c r="E108" s="13"/>
      <c r="F108" s="34" t="str" cm="1">
        <f t="array" ref="F108">IF($A108="","",GetMatchingValue($XFD$8,"Original","Control Number",F$2,$A108))</f>
        <v/>
      </c>
      <c r="G108" s="34" t="str" cm="1">
        <f t="array" ref="G108">IF($A108="","",GetMatchingValue($XFD$8,"Original","Control Number",G$2,$A108))</f>
        <v/>
      </c>
      <c r="H108" s="34" t="str" cm="1">
        <f t="array" ref="H108">IF($A108="","",GetMatchingValue($XFD$8,"Original","Control Number",H$2,$A108))</f>
        <v/>
      </c>
      <c r="I108" s="13"/>
      <c r="J108" s="13" t="str" cm="1">
        <f t="array" ref="J108">IF($A108="","",CheckControlNumberExists($XFD$9, "Original", $A108))</f>
        <v/>
      </c>
      <c r="K108" s="34" t="str" cm="1">
        <f t="array" ref="K108">IF($A108="","",IF($J108="No","",GetMatchingValue($XFD$9,"Original","Control Number",K$2,$A108)))</f>
        <v/>
      </c>
      <c r="L108" s="34" t="str" cm="1">
        <f t="array" ref="L108">IF($A108="","",IF($J108="No","",GetMatchingValue($XFD$9,"Original","Control Number",L$2,$A108)))</f>
        <v/>
      </c>
      <c r="M108" s="13" t="str">
        <f t="shared" ca="1" si="3"/>
        <v/>
      </c>
      <c r="N108" s="16"/>
      <c r="O108" s="34" t="str" cm="1">
        <f t="array" ref="O108">IF($A108="","",IF($J108="No","",GetMatchingValue($XFD$9,"Original","Control Number",O$2,$A108)))</f>
        <v/>
      </c>
      <c r="P108" s="34" t="str" cm="1">
        <f t="array" ref="P108">IF($A108="","",IF($J108="No","",GetMatchingValue($XFD$9,"Original","Control Number",P$2,$A108)))</f>
        <v/>
      </c>
      <c r="Q108" s="34" t="str" cm="1">
        <f t="array" ref="Q108">IF($A108="","",IF($J108="No","",GetMatchingValue($XFD$9,"Original","Control Number",Q$2,$A108)))</f>
        <v/>
      </c>
      <c r="R108" s="34" t="str" cm="1">
        <f t="array" ref="R108">IF($A108="","",IF($J108="No","",GetMatchingValue($XFD$9,"Original","Control Number",R$2,$A108)))</f>
        <v/>
      </c>
      <c r="S108" s="34" t="str" cm="1">
        <f t="array" ref="S108">IF($A108="","",IF($J108="No","",GetMatchingValue($XFD$9,"Original","Control Number",S$2,$A108)))</f>
        <v/>
      </c>
      <c r="T108" s="34" t="str" cm="1">
        <f t="array" ref="T108">IF($A108="","",IF($J108="No","",GetMatchingValue($XFD$9,"Original","Control Number",T$2,$A108)))</f>
        <v/>
      </c>
      <c r="U108" s="34" t="str" cm="1">
        <f t="array" ref="U108">IF($A108="","",IF($J108="No","",GetMatchingValue($XFD$9,"Original","Control Number",U$2,$A108)))</f>
        <v/>
      </c>
      <c r="V108" s="14"/>
      <c r="W108" s="17"/>
      <c r="X108" s="17"/>
      <c r="Y108" s="17"/>
      <c r="Z108" s="13"/>
      <c r="AA108" s="13"/>
      <c r="AB108" s="13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3"/>
    </row>
    <row r="109" spans="1:45" customFormat="1" ht="36" customHeight="1" x14ac:dyDescent="0.25">
      <c r="A109" s="13"/>
      <c r="B109" s="14"/>
      <c r="C109" s="15"/>
      <c r="D109" s="15"/>
      <c r="E109" s="13"/>
      <c r="F109" s="34" t="str" cm="1">
        <f t="array" ref="F109">IF($A109="","",GetMatchingValue($XFD$8,"Original","Control Number",F$2,$A109))</f>
        <v/>
      </c>
      <c r="G109" s="34" t="str" cm="1">
        <f t="array" ref="G109">IF($A109="","",GetMatchingValue($XFD$8,"Original","Control Number",G$2,$A109))</f>
        <v/>
      </c>
      <c r="H109" s="34" t="str" cm="1">
        <f t="array" ref="H109">IF($A109="","",GetMatchingValue($XFD$8,"Original","Control Number",H$2,$A109))</f>
        <v/>
      </c>
      <c r="I109" s="13"/>
      <c r="J109" s="13" t="str" cm="1">
        <f t="array" ref="J109">IF($A109="","",CheckControlNumberExists($XFD$9, "Original", $A109))</f>
        <v/>
      </c>
      <c r="K109" s="34" t="str" cm="1">
        <f t="array" ref="K109">IF($A109="","",IF($J109="No","",GetMatchingValue($XFD$9,"Original","Control Number",K$2,$A109)))</f>
        <v/>
      </c>
      <c r="L109" s="34" t="str" cm="1">
        <f t="array" ref="L109">IF($A109="","",IF($J109="No","",GetMatchingValue($XFD$9,"Original","Control Number",L$2,$A109)))</f>
        <v/>
      </c>
      <c r="M109" s="13" t="str">
        <f t="shared" ca="1" si="3"/>
        <v/>
      </c>
      <c r="N109" s="16"/>
      <c r="O109" s="34" t="str" cm="1">
        <f t="array" ref="O109">IF($A109="","",IF($J109="No","",GetMatchingValue($XFD$9,"Original","Control Number",O$2,$A109)))</f>
        <v/>
      </c>
      <c r="P109" s="34" t="str" cm="1">
        <f t="array" ref="P109">IF($A109="","",IF($J109="No","",GetMatchingValue($XFD$9,"Original","Control Number",P$2,$A109)))</f>
        <v/>
      </c>
      <c r="Q109" s="34" t="str" cm="1">
        <f t="array" ref="Q109">IF($A109="","",IF($J109="No","",GetMatchingValue($XFD$9,"Original","Control Number",Q$2,$A109)))</f>
        <v/>
      </c>
      <c r="R109" s="34" t="str" cm="1">
        <f t="array" ref="R109">IF($A109="","",IF($J109="No","",GetMatchingValue($XFD$9,"Original","Control Number",R$2,$A109)))</f>
        <v/>
      </c>
      <c r="S109" s="34" t="str" cm="1">
        <f t="array" ref="S109">IF($A109="","",IF($J109="No","",GetMatchingValue($XFD$9,"Original","Control Number",S$2,$A109)))</f>
        <v/>
      </c>
      <c r="T109" s="34" t="str" cm="1">
        <f t="array" ref="T109">IF($A109="","",IF($J109="No","",GetMatchingValue($XFD$9,"Original","Control Number",T$2,$A109)))</f>
        <v/>
      </c>
      <c r="U109" s="34" t="str" cm="1">
        <f t="array" ref="U109">IF($A109="","",IF($J109="No","",GetMatchingValue($XFD$9,"Original","Control Number",U$2,$A109)))</f>
        <v/>
      </c>
      <c r="V109" s="14"/>
      <c r="W109" s="17"/>
      <c r="X109" s="17"/>
      <c r="Y109" s="17"/>
      <c r="Z109" s="13"/>
      <c r="AA109" s="13"/>
      <c r="AB109" s="13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3"/>
    </row>
    <row r="110" spans="1:45" ht="36" customHeight="1" x14ac:dyDescent="0.2">
      <c r="A110" s="13"/>
      <c r="B110" s="14"/>
      <c r="C110" s="15"/>
      <c r="D110" s="15"/>
      <c r="E110" s="13"/>
      <c r="F110" s="34" t="str" cm="1">
        <f t="array" ref="F110">IF($A110="","",GetMatchingValue($XFD$8,"Original","Control Number",F$2,$A110))</f>
        <v/>
      </c>
      <c r="G110" s="34" t="str" cm="1">
        <f t="array" ref="G110">IF($A110="","",GetMatchingValue($XFD$8,"Original","Control Number",G$2,$A110))</f>
        <v/>
      </c>
      <c r="H110" s="34" t="str" cm="1">
        <f t="array" ref="H110">IF($A110="","",GetMatchingValue($XFD$8,"Original","Control Number",H$2,$A110))</f>
        <v/>
      </c>
      <c r="I110" s="13"/>
      <c r="J110" s="13" t="str" cm="1">
        <f t="array" ref="J110">IF($A110="","",CheckControlNumberExists($XFD$9, "Original", $A110))</f>
        <v/>
      </c>
      <c r="K110" s="34" t="str" cm="1">
        <f t="array" ref="K110">IF($A110="","",IF($J110="No","",GetMatchingValue($XFD$9,"Original","Control Number",K$2,$A110)))</f>
        <v/>
      </c>
      <c r="L110" s="34" t="str" cm="1">
        <f t="array" ref="L110">IF($A110="","",IF($J110="No","",GetMatchingValue($XFD$9,"Original","Control Number",L$2,$A110)))</f>
        <v/>
      </c>
      <c r="M110" s="13" t="str">
        <f t="shared" ca="1" si="3"/>
        <v/>
      </c>
      <c r="N110" s="16"/>
      <c r="O110" s="34" t="str" cm="1">
        <f t="array" ref="O110">IF($A110="","",IF($J110="No","",GetMatchingValue($XFD$9,"Original","Control Number",O$2,$A110)))</f>
        <v/>
      </c>
      <c r="P110" s="34" t="str" cm="1">
        <f t="array" ref="P110">IF($A110="","",IF($J110="No","",GetMatchingValue($XFD$9,"Original","Control Number",P$2,$A110)))</f>
        <v/>
      </c>
      <c r="Q110" s="34" t="str" cm="1">
        <f t="array" ref="Q110">IF($A110="","",IF($J110="No","",GetMatchingValue($XFD$9,"Original","Control Number",Q$2,$A110)))</f>
        <v/>
      </c>
      <c r="R110" s="34" t="str" cm="1">
        <f t="array" ref="R110">IF($A110="","",IF($J110="No","",GetMatchingValue($XFD$9,"Original","Control Number",R$2,$A110)))</f>
        <v/>
      </c>
      <c r="S110" s="34" t="str" cm="1">
        <f t="array" ref="S110">IF($A110="","",IF($J110="No","",GetMatchingValue($XFD$9,"Original","Control Number",S$2,$A110)))</f>
        <v/>
      </c>
      <c r="T110" s="34" t="str" cm="1">
        <f t="array" ref="T110">IF($A110="","",IF($J110="No","",GetMatchingValue($XFD$9,"Original","Control Number",T$2,$A110)))</f>
        <v/>
      </c>
      <c r="U110" s="34" t="str" cm="1">
        <f t="array" ref="U110">IF($A110="","",IF($J110="No","",GetMatchingValue($XFD$9,"Original","Control Number",U$2,$A110)))</f>
        <v/>
      </c>
      <c r="V110" s="14"/>
      <c r="W110" s="17"/>
      <c r="X110" s="17"/>
      <c r="Y110" s="17"/>
      <c r="Z110" s="13"/>
      <c r="AA110" s="13"/>
      <c r="AB110" s="13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3"/>
    </row>
    <row r="111" spans="1:45" ht="36" customHeight="1" x14ac:dyDescent="0.2">
      <c r="A111" s="13"/>
      <c r="B111" s="14"/>
      <c r="C111" s="15"/>
      <c r="D111" s="15"/>
      <c r="E111" s="13"/>
      <c r="F111" s="34" t="str" cm="1">
        <f t="array" ref="F111">IF($A111="","",GetMatchingValue($XFD$8,"Original","Control Number",F$2,$A111))</f>
        <v/>
      </c>
      <c r="G111" s="34" t="str" cm="1">
        <f t="array" ref="G111">IF($A111="","",GetMatchingValue($XFD$8,"Original","Control Number",G$2,$A111))</f>
        <v/>
      </c>
      <c r="H111" s="34" t="str" cm="1">
        <f t="array" ref="H111">IF($A111="","",GetMatchingValue($XFD$8,"Original","Control Number",H$2,$A111))</f>
        <v/>
      </c>
      <c r="I111" s="13"/>
      <c r="J111" s="13" t="str" cm="1">
        <f t="array" ref="J111">IF($A111="","",CheckControlNumberExists($XFD$9, "Original", $A111))</f>
        <v/>
      </c>
      <c r="K111" s="34" t="str" cm="1">
        <f t="array" ref="K111">IF($A111="","",IF($J111="No","",GetMatchingValue($XFD$9,"Original","Control Number",K$2,$A111)))</f>
        <v/>
      </c>
      <c r="L111" s="34" t="str" cm="1">
        <f t="array" ref="L111">IF($A111="","",IF($J111="No","",GetMatchingValue($XFD$9,"Original","Control Number",L$2,$A111)))</f>
        <v/>
      </c>
      <c r="M111" s="13" t="str">
        <f t="shared" ca="1" si="3"/>
        <v/>
      </c>
      <c r="N111" s="16"/>
      <c r="O111" s="34" t="str" cm="1">
        <f t="array" ref="O111">IF($A111="","",IF($J111="No","",GetMatchingValue($XFD$9,"Original","Control Number",O$2,$A111)))</f>
        <v/>
      </c>
      <c r="P111" s="34" t="str" cm="1">
        <f t="array" ref="P111">IF($A111="","",IF($J111="No","",GetMatchingValue($XFD$9,"Original","Control Number",P$2,$A111)))</f>
        <v/>
      </c>
      <c r="Q111" s="34" t="str" cm="1">
        <f t="array" ref="Q111">IF($A111="","",IF($J111="No","",GetMatchingValue($XFD$9,"Original","Control Number",Q$2,$A111)))</f>
        <v/>
      </c>
      <c r="R111" s="34" t="str" cm="1">
        <f t="array" ref="R111">IF($A111="","",IF($J111="No","",GetMatchingValue($XFD$9,"Original","Control Number",R$2,$A111)))</f>
        <v/>
      </c>
      <c r="S111" s="34" t="str" cm="1">
        <f t="array" ref="S111">IF($A111="","",IF($J111="No","",GetMatchingValue($XFD$9,"Original","Control Number",S$2,$A111)))</f>
        <v/>
      </c>
      <c r="T111" s="34" t="str" cm="1">
        <f t="array" ref="T111">IF($A111="","",IF($J111="No","",GetMatchingValue($XFD$9,"Original","Control Number",T$2,$A111)))</f>
        <v/>
      </c>
      <c r="U111" s="34" t="str" cm="1">
        <f t="array" ref="U111">IF($A111="","",IF($J111="No","",GetMatchingValue($XFD$9,"Original","Control Number",U$2,$A111)))</f>
        <v/>
      </c>
      <c r="V111" s="14"/>
      <c r="W111" s="17"/>
      <c r="X111" s="17"/>
      <c r="Y111" s="17"/>
      <c r="Z111" s="13"/>
      <c r="AA111" s="13"/>
      <c r="AB111" s="13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3"/>
    </row>
    <row r="112" spans="1:45" ht="36" customHeight="1" x14ac:dyDescent="0.2">
      <c r="A112" s="13"/>
      <c r="B112" s="14"/>
      <c r="C112" s="15"/>
      <c r="D112" s="15"/>
      <c r="E112" s="13"/>
      <c r="F112" s="34" t="str" cm="1">
        <f t="array" ref="F112">IF($A112="","",GetMatchingValue($XFD$8,"Original","Control Number",F$2,$A112))</f>
        <v/>
      </c>
      <c r="G112" s="34" t="str" cm="1">
        <f t="array" ref="G112">IF($A112="","",GetMatchingValue($XFD$8,"Original","Control Number",G$2,$A112))</f>
        <v/>
      </c>
      <c r="H112" s="34" t="str" cm="1">
        <f t="array" ref="H112">IF($A112="","",GetMatchingValue($XFD$8,"Original","Control Number",H$2,$A112))</f>
        <v/>
      </c>
      <c r="I112" s="13"/>
      <c r="J112" s="13" t="str" cm="1">
        <f t="array" ref="J112">IF($A112="","",CheckControlNumberExists($XFD$9, "Original", $A112))</f>
        <v/>
      </c>
      <c r="K112" s="34" t="str" cm="1">
        <f t="array" ref="K112">IF($A112="","",IF($J112="No","",GetMatchingValue($XFD$9,"Original","Control Number",K$2,$A112)))</f>
        <v/>
      </c>
      <c r="L112" s="34" t="str" cm="1">
        <f t="array" ref="L112">IF($A112="","",IF($J112="No","",GetMatchingValue($XFD$9,"Original","Control Number",L$2,$A112)))</f>
        <v/>
      </c>
      <c r="M112" s="13" t="str">
        <f t="shared" ca="1" si="3"/>
        <v/>
      </c>
      <c r="N112" s="16"/>
      <c r="O112" s="34" t="str" cm="1">
        <f t="array" ref="O112">IF($A112="","",IF($J112="No","",GetMatchingValue($XFD$9,"Original","Control Number",O$2,$A112)))</f>
        <v/>
      </c>
      <c r="P112" s="34" t="str" cm="1">
        <f t="array" ref="P112">IF($A112="","",IF($J112="No","",GetMatchingValue($XFD$9,"Original","Control Number",P$2,$A112)))</f>
        <v/>
      </c>
      <c r="Q112" s="34" t="str" cm="1">
        <f t="array" ref="Q112">IF($A112="","",IF($J112="No","",GetMatchingValue($XFD$9,"Original","Control Number",Q$2,$A112)))</f>
        <v/>
      </c>
      <c r="R112" s="34" t="str" cm="1">
        <f t="array" ref="R112">IF($A112="","",IF($J112="No","",GetMatchingValue($XFD$9,"Original","Control Number",R$2,$A112)))</f>
        <v/>
      </c>
      <c r="S112" s="34" t="str" cm="1">
        <f t="array" ref="S112">IF($A112="","",IF($J112="No","",GetMatchingValue($XFD$9,"Original","Control Number",S$2,$A112)))</f>
        <v/>
      </c>
      <c r="T112" s="34" t="str" cm="1">
        <f t="array" ref="T112">IF($A112="","",IF($J112="No","",GetMatchingValue($XFD$9,"Original","Control Number",T$2,$A112)))</f>
        <v/>
      </c>
      <c r="U112" s="34" t="str" cm="1">
        <f t="array" ref="U112">IF($A112="","",IF($J112="No","",GetMatchingValue($XFD$9,"Original","Control Number",U$2,$A112)))</f>
        <v/>
      </c>
      <c r="V112" s="14"/>
      <c r="W112" s="17"/>
      <c r="X112" s="17"/>
      <c r="Y112" s="17"/>
      <c r="Z112" s="13"/>
      <c r="AA112" s="13"/>
      <c r="AB112" s="13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3"/>
    </row>
    <row r="113" spans="1:45" ht="36" customHeight="1" x14ac:dyDescent="0.2">
      <c r="A113" s="13"/>
      <c r="B113" s="14"/>
      <c r="C113" s="15"/>
      <c r="D113" s="15"/>
      <c r="E113" s="13"/>
      <c r="F113" s="34" t="str" cm="1">
        <f t="array" ref="F113">IF($A113="","",GetMatchingValue($XFD$8,"Original","Control Number",F$2,$A113))</f>
        <v/>
      </c>
      <c r="G113" s="34" t="str" cm="1">
        <f t="array" ref="G113">IF($A113="","",GetMatchingValue($XFD$8,"Original","Control Number",G$2,$A113))</f>
        <v/>
      </c>
      <c r="H113" s="34" t="str" cm="1">
        <f t="array" ref="H113">IF($A113="","",GetMatchingValue($XFD$8,"Original","Control Number",H$2,$A113))</f>
        <v/>
      </c>
      <c r="I113" s="13"/>
      <c r="J113" s="13" t="str" cm="1">
        <f t="array" ref="J113">IF($A113="","",CheckControlNumberExists($XFD$9, "Original", $A113))</f>
        <v/>
      </c>
      <c r="K113" s="34" t="str" cm="1">
        <f t="array" ref="K113">IF($A113="","",IF($J113="No","",GetMatchingValue($XFD$9,"Original","Control Number",K$2,$A113)))</f>
        <v/>
      </c>
      <c r="L113" s="34" t="str" cm="1">
        <f t="array" ref="L113">IF($A113="","",IF($J113="No","",GetMatchingValue($XFD$9,"Original","Control Number",L$2,$A113)))</f>
        <v/>
      </c>
      <c r="M113" s="13" t="str">
        <f t="shared" ca="1" si="3"/>
        <v/>
      </c>
      <c r="N113" s="16"/>
      <c r="O113" s="34" t="str" cm="1">
        <f t="array" ref="O113">IF($A113="","",IF($J113="No","",GetMatchingValue($XFD$9,"Original","Control Number",O$2,$A113)))</f>
        <v/>
      </c>
      <c r="P113" s="34" t="str" cm="1">
        <f t="array" ref="P113">IF($A113="","",IF($J113="No","",GetMatchingValue($XFD$9,"Original","Control Number",P$2,$A113)))</f>
        <v/>
      </c>
      <c r="Q113" s="34" t="str" cm="1">
        <f t="array" ref="Q113">IF($A113="","",IF($J113="No","",GetMatchingValue($XFD$9,"Original","Control Number",Q$2,$A113)))</f>
        <v/>
      </c>
      <c r="R113" s="34" t="str" cm="1">
        <f t="array" ref="R113">IF($A113="","",IF($J113="No","",GetMatchingValue($XFD$9,"Original","Control Number",R$2,$A113)))</f>
        <v/>
      </c>
      <c r="S113" s="34" t="str" cm="1">
        <f t="array" ref="S113">IF($A113="","",IF($J113="No","",GetMatchingValue($XFD$9,"Original","Control Number",S$2,$A113)))</f>
        <v/>
      </c>
      <c r="T113" s="34" t="str" cm="1">
        <f t="array" ref="T113">IF($A113="","",IF($J113="No","",GetMatchingValue($XFD$9,"Original","Control Number",T$2,$A113)))</f>
        <v/>
      </c>
      <c r="U113" s="34" t="str" cm="1">
        <f t="array" ref="U113">IF($A113="","",IF($J113="No","",GetMatchingValue($XFD$9,"Original","Control Number",U$2,$A113)))</f>
        <v/>
      </c>
      <c r="V113" s="14"/>
      <c r="W113" s="17"/>
      <c r="X113" s="17"/>
      <c r="Y113" s="17"/>
      <c r="Z113" s="13"/>
      <c r="AA113" s="13"/>
      <c r="AB113" s="13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3"/>
    </row>
    <row r="114" spans="1:45" ht="36" customHeight="1" x14ac:dyDescent="0.2">
      <c r="A114" s="19"/>
      <c r="B114" s="14"/>
      <c r="C114" s="15"/>
      <c r="D114" s="15"/>
      <c r="E114" s="13"/>
      <c r="F114" s="34" t="str" cm="1">
        <f t="array" ref="F114">IF($A114="","",GetMatchingValue($XFD$8,"Original","Control Number",F$2,$A114))</f>
        <v/>
      </c>
      <c r="G114" s="34" t="str" cm="1">
        <f t="array" ref="G114">IF($A114="","",GetMatchingValue($XFD$8,"Original","Control Number",G$2,$A114))</f>
        <v/>
      </c>
      <c r="H114" s="34" t="str" cm="1">
        <f t="array" ref="H114">IF($A114="","",GetMatchingValue($XFD$8,"Original","Control Number",H$2,$A114))</f>
        <v/>
      </c>
      <c r="I114" s="13"/>
      <c r="J114" s="13" t="str" cm="1">
        <f t="array" ref="J114">IF($A114="","",CheckControlNumberExists($XFD$9, "Original", $A114))</f>
        <v/>
      </c>
      <c r="K114" s="34" t="str" cm="1">
        <f t="array" ref="K114">IF($A114="","",IF($J114="No","",GetMatchingValue($XFD$9,"Original","Control Number",K$2,$A114)))</f>
        <v/>
      </c>
      <c r="L114" s="34" t="str" cm="1">
        <f t="array" ref="L114">IF($A114="","",IF($J114="No","",GetMatchingValue($XFD$9,"Original","Control Number",L$2,$A114)))</f>
        <v/>
      </c>
      <c r="M114" s="13" t="str">
        <f t="shared" ca="1" si="3"/>
        <v/>
      </c>
      <c r="N114" s="16"/>
      <c r="O114" s="34" t="str" cm="1">
        <f t="array" ref="O114">IF($A114="","",IF($J114="No","",GetMatchingValue($XFD$9,"Original","Control Number",O$2,$A114)))</f>
        <v/>
      </c>
      <c r="P114" s="34" t="str" cm="1">
        <f t="array" ref="P114">IF($A114="","",IF($J114="No","",GetMatchingValue($XFD$9,"Original","Control Number",P$2,$A114)))</f>
        <v/>
      </c>
      <c r="Q114" s="34" t="str" cm="1">
        <f t="array" ref="Q114">IF($A114="","",IF($J114="No","",GetMatchingValue($XFD$9,"Original","Control Number",Q$2,$A114)))</f>
        <v/>
      </c>
      <c r="R114" s="34" t="str" cm="1">
        <f t="array" ref="R114">IF($A114="","",IF($J114="No","",GetMatchingValue($XFD$9,"Original","Control Number",R$2,$A114)))</f>
        <v/>
      </c>
      <c r="S114" s="34" t="str" cm="1">
        <f t="array" ref="S114">IF($A114="","",IF($J114="No","",GetMatchingValue($XFD$9,"Original","Control Number",S$2,$A114)))</f>
        <v/>
      </c>
      <c r="T114" s="34" t="str" cm="1">
        <f t="array" ref="T114">IF($A114="","",IF($J114="No","",GetMatchingValue($XFD$9,"Original","Control Number",T$2,$A114)))</f>
        <v/>
      </c>
      <c r="U114" s="34" t="str" cm="1">
        <f t="array" ref="U114">IF($A114="","",IF($J114="No","",GetMatchingValue($XFD$9,"Original","Control Number",U$2,$A114)))</f>
        <v/>
      </c>
      <c r="V114" s="14"/>
      <c r="W114" s="17"/>
      <c r="X114" s="17"/>
      <c r="Y114" s="17"/>
      <c r="Z114" s="13"/>
      <c r="AA114" s="13"/>
      <c r="AB114" s="13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3"/>
    </row>
    <row r="115" spans="1:45" ht="36" customHeight="1" x14ac:dyDescent="0.2">
      <c r="A115" s="13"/>
      <c r="B115" s="14"/>
      <c r="C115" s="15"/>
      <c r="D115" s="15"/>
      <c r="E115" s="13"/>
      <c r="F115" s="34" t="str" cm="1">
        <f t="array" ref="F115">IF($A115="","",GetMatchingValue($XFD$8,"Original","Control Number",F$2,$A115))</f>
        <v/>
      </c>
      <c r="G115" s="34" t="str" cm="1">
        <f t="array" ref="G115">IF($A115="","",GetMatchingValue($XFD$8,"Original","Control Number",G$2,$A115))</f>
        <v/>
      </c>
      <c r="H115" s="34" t="str" cm="1">
        <f t="array" ref="H115">IF($A115="","",GetMatchingValue($XFD$8,"Original","Control Number",H$2,$A115))</f>
        <v/>
      </c>
      <c r="I115" s="13"/>
      <c r="J115" s="13" t="str" cm="1">
        <f t="array" ref="J115">IF($A115="","",CheckControlNumberExists($XFD$9, "Original", $A115))</f>
        <v/>
      </c>
      <c r="K115" s="34" t="str" cm="1">
        <f t="array" ref="K115">IF($A115="","",IF($J115="No","",GetMatchingValue($XFD$9,"Original","Control Number",K$2,$A115)))</f>
        <v/>
      </c>
      <c r="L115" s="34" t="str" cm="1">
        <f t="array" ref="L115">IF($A115="","",IF($J115="No","",GetMatchingValue($XFD$9,"Original","Control Number",L$2,$A115)))</f>
        <v/>
      </c>
      <c r="M115" s="13" t="str">
        <f t="shared" ca="1" si="3"/>
        <v/>
      </c>
      <c r="N115" s="16"/>
      <c r="O115" s="34" t="str" cm="1">
        <f t="array" ref="O115">IF($A115="","",IF($J115="No","",GetMatchingValue($XFD$9,"Original","Control Number",O$2,$A115)))</f>
        <v/>
      </c>
      <c r="P115" s="34" t="str" cm="1">
        <f t="array" ref="P115">IF($A115="","",IF($J115="No","",GetMatchingValue($XFD$9,"Original","Control Number",P$2,$A115)))</f>
        <v/>
      </c>
      <c r="Q115" s="34" t="str" cm="1">
        <f t="array" ref="Q115">IF($A115="","",IF($J115="No","",GetMatchingValue($XFD$9,"Original","Control Number",Q$2,$A115)))</f>
        <v/>
      </c>
      <c r="R115" s="34" t="str" cm="1">
        <f t="array" ref="R115">IF($A115="","",IF($J115="No","",GetMatchingValue($XFD$9,"Original","Control Number",R$2,$A115)))</f>
        <v/>
      </c>
      <c r="S115" s="34" t="str" cm="1">
        <f t="array" ref="S115">IF($A115="","",IF($J115="No","",GetMatchingValue($XFD$9,"Original","Control Number",S$2,$A115)))</f>
        <v/>
      </c>
      <c r="T115" s="34" t="str" cm="1">
        <f t="array" ref="T115">IF($A115="","",IF($J115="No","",GetMatchingValue($XFD$9,"Original","Control Number",T$2,$A115)))</f>
        <v/>
      </c>
      <c r="U115" s="34" t="str" cm="1">
        <f t="array" ref="U115">IF($A115="","",IF($J115="No","",GetMatchingValue($XFD$9,"Original","Control Number",U$2,$A115)))</f>
        <v/>
      </c>
      <c r="V115" s="14"/>
      <c r="W115" s="17"/>
      <c r="X115" s="17"/>
      <c r="Y115" s="17"/>
      <c r="Z115" s="13"/>
      <c r="AA115" s="13"/>
      <c r="AB115" s="13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3"/>
    </row>
    <row r="116" spans="1:45" ht="36" customHeight="1" x14ac:dyDescent="0.2">
      <c r="A116" s="13"/>
      <c r="B116" s="14"/>
      <c r="C116" s="15"/>
      <c r="D116" s="15"/>
      <c r="E116" s="13"/>
      <c r="F116" s="34" t="str" cm="1">
        <f t="array" ref="F116">IF($A116="","",GetMatchingValue($XFD$8,"Original","Control Number",F$2,$A116))</f>
        <v/>
      </c>
      <c r="G116" s="34" t="str" cm="1">
        <f t="array" ref="G116">IF($A116="","",GetMatchingValue($XFD$8,"Original","Control Number",G$2,$A116))</f>
        <v/>
      </c>
      <c r="H116" s="34" t="str" cm="1">
        <f t="array" ref="H116">IF($A116="","",GetMatchingValue($XFD$8,"Original","Control Number",H$2,$A116))</f>
        <v/>
      </c>
      <c r="I116" s="13"/>
      <c r="J116" s="13" t="str" cm="1">
        <f t="array" ref="J116">IF($A116="","",CheckControlNumberExists($XFD$9, "Original", $A116))</f>
        <v/>
      </c>
      <c r="K116" s="34" t="str" cm="1">
        <f t="array" ref="K116">IF($A116="","",IF($J116="No","",GetMatchingValue($XFD$9,"Original","Control Number",K$2,$A116)))</f>
        <v/>
      </c>
      <c r="L116" s="34" t="str" cm="1">
        <f t="array" ref="L116">IF($A116="","",IF($J116="No","",GetMatchingValue($XFD$9,"Original","Control Number",L$2,$A116)))</f>
        <v/>
      </c>
      <c r="M116" s="13" t="str">
        <f t="shared" ca="1" si="3"/>
        <v/>
      </c>
      <c r="N116" s="16"/>
      <c r="O116" s="34" t="str" cm="1">
        <f t="array" ref="O116">IF($A116="","",IF($J116="No","",GetMatchingValue($XFD$9,"Original","Control Number",O$2,$A116)))</f>
        <v/>
      </c>
      <c r="P116" s="34" t="str" cm="1">
        <f t="array" ref="P116">IF($A116="","",IF($J116="No","",GetMatchingValue($XFD$9,"Original","Control Number",P$2,$A116)))</f>
        <v/>
      </c>
      <c r="Q116" s="34" t="str" cm="1">
        <f t="array" ref="Q116">IF($A116="","",IF($J116="No","",GetMatchingValue($XFD$9,"Original","Control Number",Q$2,$A116)))</f>
        <v/>
      </c>
      <c r="R116" s="34" t="str" cm="1">
        <f t="array" ref="R116">IF($A116="","",IF($J116="No","",GetMatchingValue($XFD$9,"Original","Control Number",R$2,$A116)))</f>
        <v/>
      </c>
      <c r="S116" s="34" t="str" cm="1">
        <f t="array" ref="S116">IF($A116="","",IF($J116="No","",GetMatchingValue($XFD$9,"Original","Control Number",S$2,$A116)))</f>
        <v/>
      </c>
      <c r="T116" s="34" t="str" cm="1">
        <f t="array" ref="T116">IF($A116="","",IF($J116="No","",GetMatchingValue($XFD$9,"Original","Control Number",T$2,$A116)))</f>
        <v/>
      </c>
      <c r="U116" s="34" t="str" cm="1">
        <f t="array" ref="U116">IF($A116="","",IF($J116="No","",GetMatchingValue($XFD$9,"Original","Control Number",U$2,$A116)))</f>
        <v/>
      </c>
      <c r="V116" s="14"/>
      <c r="W116" s="17"/>
      <c r="X116" s="17"/>
      <c r="Y116" s="17"/>
      <c r="Z116" s="13"/>
      <c r="AA116" s="13"/>
      <c r="AB116" s="13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3"/>
    </row>
    <row r="117" spans="1:45" ht="36" customHeight="1" x14ac:dyDescent="0.2">
      <c r="A117" s="13"/>
      <c r="B117" s="14"/>
      <c r="C117" s="15"/>
      <c r="D117" s="15"/>
      <c r="E117" s="13"/>
      <c r="F117" s="34" t="str" cm="1">
        <f t="array" ref="F117">IF($A117="","",GetMatchingValue($XFD$8,"Original","Control Number",F$2,$A117))</f>
        <v/>
      </c>
      <c r="G117" s="34" t="str" cm="1">
        <f t="array" ref="G117">IF($A117="","",GetMatchingValue($XFD$8,"Original","Control Number",G$2,$A117))</f>
        <v/>
      </c>
      <c r="H117" s="34" t="str" cm="1">
        <f t="array" ref="H117">IF($A117="","",GetMatchingValue($XFD$8,"Original","Control Number",H$2,$A117))</f>
        <v/>
      </c>
      <c r="I117" s="13"/>
      <c r="J117" s="13" t="str" cm="1">
        <f t="array" ref="J117">IF($A117="","",CheckControlNumberExists($XFD$9, "Original", $A117))</f>
        <v/>
      </c>
      <c r="K117" s="34" t="str" cm="1">
        <f t="array" ref="K117">IF($A117="","",IF($J117="No","",GetMatchingValue($XFD$9,"Original","Control Number",K$2,$A117)))</f>
        <v/>
      </c>
      <c r="L117" s="34" t="str" cm="1">
        <f t="array" ref="L117">IF($A117="","",IF($J117="No","",GetMatchingValue($XFD$9,"Original","Control Number",L$2,$A117)))</f>
        <v/>
      </c>
      <c r="M117" s="13" t="str">
        <f t="shared" ca="1" si="3"/>
        <v/>
      </c>
      <c r="N117" s="16"/>
      <c r="O117" s="34" t="str" cm="1">
        <f t="array" ref="O117">IF($A117="","",IF($J117="No","",GetMatchingValue($XFD$9,"Original","Control Number",O$2,$A117)))</f>
        <v/>
      </c>
      <c r="P117" s="34" t="str" cm="1">
        <f t="array" ref="P117">IF($A117="","",IF($J117="No","",GetMatchingValue($XFD$9,"Original","Control Number",P$2,$A117)))</f>
        <v/>
      </c>
      <c r="Q117" s="34" t="str" cm="1">
        <f t="array" ref="Q117">IF($A117="","",IF($J117="No","",GetMatchingValue($XFD$9,"Original","Control Number",Q$2,$A117)))</f>
        <v/>
      </c>
      <c r="R117" s="34" t="str" cm="1">
        <f t="array" ref="R117">IF($A117="","",IF($J117="No","",GetMatchingValue($XFD$9,"Original","Control Number",R$2,$A117)))</f>
        <v/>
      </c>
      <c r="S117" s="34" t="str" cm="1">
        <f t="array" ref="S117">IF($A117="","",IF($J117="No","",GetMatchingValue($XFD$9,"Original","Control Number",S$2,$A117)))</f>
        <v/>
      </c>
      <c r="T117" s="34" t="str" cm="1">
        <f t="array" ref="T117">IF($A117="","",IF($J117="No","",GetMatchingValue($XFD$9,"Original","Control Number",T$2,$A117)))</f>
        <v/>
      </c>
      <c r="U117" s="34" t="str" cm="1">
        <f t="array" ref="U117">IF($A117="","",IF($J117="No","",GetMatchingValue($XFD$9,"Original","Control Number",U$2,$A117)))</f>
        <v/>
      </c>
      <c r="V117" s="14"/>
      <c r="W117" s="17"/>
      <c r="X117" s="17"/>
      <c r="Y117" s="17"/>
      <c r="Z117" s="13"/>
      <c r="AA117" s="13"/>
      <c r="AB117" s="13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3"/>
    </row>
    <row r="118" spans="1:45" ht="36" customHeight="1" x14ac:dyDescent="0.2">
      <c r="A118" s="13"/>
      <c r="B118" s="14"/>
      <c r="C118" s="15"/>
      <c r="D118" s="15"/>
      <c r="E118" s="13"/>
      <c r="F118" s="34" t="str" cm="1">
        <f t="array" ref="F118">IF($A118="","",GetMatchingValue($XFD$8,"Original","Control Number",F$2,$A118))</f>
        <v/>
      </c>
      <c r="G118" s="34" t="str" cm="1">
        <f t="array" ref="G118">IF($A118="","",GetMatchingValue($XFD$8,"Original","Control Number",G$2,$A118))</f>
        <v/>
      </c>
      <c r="H118" s="34" t="str" cm="1">
        <f t="array" ref="H118">IF($A118="","",GetMatchingValue($XFD$8,"Original","Control Number",H$2,$A118))</f>
        <v/>
      </c>
      <c r="I118" s="13"/>
      <c r="J118" s="13" t="str" cm="1">
        <f t="array" ref="J118">IF($A118="","",CheckControlNumberExists($XFD$9, "Original", $A118))</f>
        <v/>
      </c>
      <c r="K118" s="34" t="str" cm="1">
        <f t="array" ref="K118">IF($A118="","",IF($J118="No","",GetMatchingValue($XFD$9,"Original","Control Number",K$2,$A118)))</f>
        <v/>
      </c>
      <c r="L118" s="34" t="str" cm="1">
        <f t="array" ref="L118">IF($A118="","",IF($J118="No","",GetMatchingValue($XFD$9,"Original","Control Number",L$2,$A118)))</f>
        <v/>
      </c>
      <c r="M118" s="13" t="str">
        <f t="shared" ca="1" si="3"/>
        <v/>
      </c>
      <c r="N118" s="16"/>
      <c r="O118" s="34" t="str" cm="1">
        <f t="array" ref="O118">IF($A118="","",IF($J118="No","",GetMatchingValue($XFD$9,"Original","Control Number",O$2,$A118)))</f>
        <v/>
      </c>
      <c r="P118" s="34" t="str" cm="1">
        <f t="array" ref="P118">IF($A118="","",IF($J118="No","",GetMatchingValue($XFD$9,"Original","Control Number",P$2,$A118)))</f>
        <v/>
      </c>
      <c r="Q118" s="34" t="str" cm="1">
        <f t="array" ref="Q118">IF($A118="","",IF($J118="No","",GetMatchingValue($XFD$9,"Original","Control Number",Q$2,$A118)))</f>
        <v/>
      </c>
      <c r="R118" s="34" t="str" cm="1">
        <f t="array" ref="R118">IF($A118="","",IF($J118="No","",GetMatchingValue($XFD$9,"Original","Control Number",R$2,$A118)))</f>
        <v/>
      </c>
      <c r="S118" s="34" t="str" cm="1">
        <f t="array" ref="S118">IF($A118="","",IF($J118="No","",GetMatchingValue($XFD$9,"Original","Control Number",S$2,$A118)))</f>
        <v/>
      </c>
      <c r="T118" s="34" t="str" cm="1">
        <f t="array" ref="T118">IF($A118="","",IF($J118="No","",GetMatchingValue($XFD$9,"Original","Control Number",T$2,$A118)))</f>
        <v/>
      </c>
      <c r="U118" s="34" t="str" cm="1">
        <f t="array" ref="U118">IF($A118="","",IF($J118="No","",GetMatchingValue($XFD$9,"Original","Control Number",U$2,$A118)))</f>
        <v/>
      </c>
      <c r="V118" s="14"/>
      <c r="W118" s="17"/>
      <c r="X118" s="17"/>
      <c r="Y118" s="17"/>
      <c r="Z118" s="13"/>
      <c r="AA118" s="13"/>
      <c r="AB118" s="13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3"/>
    </row>
    <row r="119" spans="1:45" ht="36" customHeight="1" x14ac:dyDescent="0.2">
      <c r="A119" s="13"/>
      <c r="B119" s="14"/>
      <c r="C119" s="15"/>
      <c r="D119" s="15"/>
      <c r="E119" s="13"/>
      <c r="F119" s="34" t="str" cm="1">
        <f t="array" ref="F119">IF($A119="","",GetMatchingValue($XFD$8,"Original","Control Number",F$2,$A119))</f>
        <v/>
      </c>
      <c r="G119" s="34" t="str" cm="1">
        <f t="array" ref="G119">IF($A119="","",GetMatchingValue($XFD$8,"Original","Control Number",G$2,$A119))</f>
        <v/>
      </c>
      <c r="H119" s="34" t="str" cm="1">
        <f t="array" ref="H119">IF($A119="","",GetMatchingValue($XFD$8,"Original","Control Number",H$2,$A119))</f>
        <v/>
      </c>
      <c r="I119" s="13"/>
      <c r="J119" s="13" t="str" cm="1">
        <f t="array" ref="J119">IF($A119="","",CheckControlNumberExists($XFD$9, "Original", $A119))</f>
        <v/>
      </c>
      <c r="K119" s="34" t="str" cm="1">
        <f t="array" ref="K119">IF($A119="","",IF($J119="No","",GetMatchingValue($XFD$9,"Original","Control Number",K$2,$A119)))</f>
        <v/>
      </c>
      <c r="L119" s="34" t="str" cm="1">
        <f t="array" ref="L119">IF($A119="","",IF($J119="No","",GetMatchingValue($XFD$9,"Original","Control Number",L$2,$A119)))</f>
        <v/>
      </c>
      <c r="M119" s="13" t="str">
        <f t="shared" ca="1" si="3"/>
        <v/>
      </c>
      <c r="N119" s="16"/>
      <c r="O119" s="34" t="str" cm="1">
        <f t="array" ref="O119">IF($A119="","",IF($J119="No","",GetMatchingValue($XFD$9,"Original","Control Number",O$2,$A119)))</f>
        <v/>
      </c>
      <c r="P119" s="34" t="str" cm="1">
        <f t="array" ref="P119">IF($A119="","",IF($J119="No","",GetMatchingValue($XFD$9,"Original","Control Number",P$2,$A119)))</f>
        <v/>
      </c>
      <c r="Q119" s="34" t="str" cm="1">
        <f t="array" ref="Q119">IF($A119="","",IF($J119="No","",GetMatchingValue($XFD$9,"Original","Control Number",Q$2,$A119)))</f>
        <v/>
      </c>
      <c r="R119" s="34" t="str" cm="1">
        <f t="array" ref="R119">IF($A119="","",IF($J119="No","",GetMatchingValue($XFD$9,"Original","Control Number",R$2,$A119)))</f>
        <v/>
      </c>
      <c r="S119" s="34" t="str" cm="1">
        <f t="array" ref="S119">IF($A119="","",IF($J119="No","",GetMatchingValue($XFD$9,"Original","Control Number",S$2,$A119)))</f>
        <v/>
      </c>
      <c r="T119" s="34" t="str" cm="1">
        <f t="array" ref="T119">IF($A119="","",IF($J119="No","",GetMatchingValue($XFD$9,"Original","Control Number",T$2,$A119)))</f>
        <v/>
      </c>
      <c r="U119" s="34" t="str" cm="1">
        <f t="array" ref="U119">IF($A119="","",IF($J119="No","",GetMatchingValue($XFD$9,"Original","Control Number",U$2,$A119)))</f>
        <v/>
      </c>
      <c r="V119" s="14"/>
      <c r="W119" s="17"/>
      <c r="X119" s="17"/>
      <c r="Y119" s="17"/>
      <c r="Z119" s="13"/>
      <c r="AA119" s="13"/>
      <c r="AB119" s="13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3"/>
    </row>
    <row r="120" spans="1:45" ht="36" customHeight="1" x14ac:dyDescent="0.2">
      <c r="A120" s="19"/>
      <c r="B120" s="14"/>
      <c r="C120" s="15"/>
      <c r="D120" s="15"/>
      <c r="E120" s="13"/>
      <c r="F120" s="34" t="str" cm="1">
        <f t="array" ref="F120">IF($A120="","",GetMatchingValue($XFD$8,"Original","Control Number",F$2,$A120))</f>
        <v/>
      </c>
      <c r="G120" s="34" t="str" cm="1">
        <f t="array" ref="G120">IF($A120="","",GetMatchingValue($XFD$8,"Original","Control Number",G$2,$A120))</f>
        <v/>
      </c>
      <c r="H120" s="34" t="str" cm="1">
        <f t="array" ref="H120">IF($A120="","",GetMatchingValue($XFD$8,"Original","Control Number",H$2,$A120))</f>
        <v/>
      </c>
      <c r="I120" s="13"/>
      <c r="J120" s="13" t="str" cm="1">
        <f t="array" ref="J120">IF($A120="","",CheckControlNumberExists($XFD$9, "Original", $A120))</f>
        <v/>
      </c>
      <c r="K120" s="34" t="str" cm="1">
        <f t="array" ref="K120">IF($A120="","",IF($J120="No","",GetMatchingValue($XFD$9,"Original","Control Number",K$2,$A120)))</f>
        <v/>
      </c>
      <c r="L120" s="34" t="str" cm="1">
        <f t="array" ref="L120">IF($A120="","",IF($J120="No","",GetMatchingValue($XFD$9,"Original","Control Number",L$2,$A120)))</f>
        <v/>
      </c>
      <c r="M120" s="13" t="str">
        <f t="shared" ca="1" si="3"/>
        <v/>
      </c>
      <c r="N120" s="16"/>
      <c r="O120" s="34" t="str" cm="1">
        <f t="array" ref="O120">IF($A120="","",IF($J120="No","",GetMatchingValue($XFD$9,"Original","Control Number",O$2,$A120)))</f>
        <v/>
      </c>
      <c r="P120" s="34" t="str" cm="1">
        <f t="array" ref="P120">IF($A120="","",IF($J120="No","",GetMatchingValue($XFD$9,"Original","Control Number",P$2,$A120)))</f>
        <v/>
      </c>
      <c r="Q120" s="34" t="str" cm="1">
        <f t="array" ref="Q120">IF($A120="","",IF($J120="No","",GetMatchingValue($XFD$9,"Original","Control Number",Q$2,$A120)))</f>
        <v/>
      </c>
      <c r="R120" s="34" t="str" cm="1">
        <f t="array" ref="R120">IF($A120="","",IF($J120="No","",GetMatchingValue($XFD$9,"Original","Control Number",R$2,$A120)))</f>
        <v/>
      </c>
      <c r="S120" s="34" t="str" cm="1">
        <f t="array" ref="S120">IF($A120="","",IF($J120="No","",GetMatchingValue($XFD$9,"Original","Control Number",S$2,$A120)))</f>
        <v/>
      </c>
      <c r="T120" s="34" t="str" cm="1">
        <f t="array" ref="T120">IF($A120="","",IF($J120="No","",GetMatchingValue($XFD$9,"Original","Control Number",T$2,$A120)))</f>
        <v/>
      </c>
      <c r="U120" s="34" t="str" cm="1">
        <f t="array" ref="U120">IF($A120="","",IF($J120="No","",GetMatchingValue($XFD$9,"Original","Control Number",U$2,$A120)))</f>
        <v/>
      </c>
      <c r="V120" s="14"/>
      <c r="W120" s="17"/>
      <c r="X120" s="17"/>
      <c r="Y120" s="17"/>
      <c r="Z120" s="13"/>
      <c r="AA120" s="13"/>
      <c r="AB120" s="13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3"/>
    </row>
    <row r="121" spans="1:45" ht="36" customHeight="1" x14ac:dyDescent="0.2">
      <c r="A121" s="13"/>
      <c r="B121" s="14"/>
      <c r="C121" s="15"/>
      <c r="D121" s="15"/>
      <c r="E121" s="13"/>
      <c r="F121" s="34" t="str" cm="1">
        <f t="array" ref="F121">IF($A121="","",GetMatchingValue($XFD$8,"Original","Control Number",F$2,$A121))</f>
        <v/>
      </c>
      <c r="G121" s="34" t="str" cm="1">
        <f t="array" ref="G121">IF($A121="","",GetMatchingValue($XFD$8,"Original","Control Number",G$2,$A121))</f>
        <v/>
      </c>
      <c r="H121" s="34" t="str" cm="1">
        <f t="array" ref="H121">IF($A121="","",GetMatchingValue($XFD$8,"Original","Control Number",H$2,$A121))</f>
        <v/>
      </c>
      <c r="I121" s="13"/>
      <c r="J121" s="13" t="str" cm="1">
        <f t="array" ref="J121">IF($A121="","",CheckControlNumberExists($XFD$9, "Original", $A121))</f>
        <v/>
      </c>
      <c r="K121" s="34" t="str" cm="1">
        <f t="array" ref="K121">IF($A121="","",IF($J121="No","",GetMatchingValue($XFD$9,"Original","Control Number",K$2,$A121)))</f>
        <v/>
      </c>
      <c r="L121" s="34" t="str" cm="1">
        <f t="array" ref="L121">IF($A121="","",IF($J121="No","",GetMatchingValue($XFD$9,"Original","Control Number",L$2,$A121)))</f>
        <v/>
      </c>
      <c r="M121" s="13" t="str">
        <f t="shared" ca="1" si="3"/>
        <v/>
      </c>
      <c r="N121" s="16"/>
      <c r="O121" s="34" t="str" cm="1">
        <f t="array" ref="O121">IF($A121="","",IF($J121="No","",GetMatchingValue($XFD$9,"Original","Control Number",O$2,$A121)))</f>
        <v/>
      </c>
      <c r="P121" s="34" t="str" cm="1">
        <f t="array" ref="P121">IF($A121="","",IF($J121="No","",GetMatchingValue($XFD$9,"Original","Control Number",P$2,$A121)))</f>
        <v/>
      </c>
      <c r="Q121" s="34" t="str" cm="1">
        <f t="array" ref="Q121">IF($A121="","",IF($J121="No","",GetMatchingValue($XFD$9,"Original","Control Number",Q$2,$A121)))</f>
        <v/>
      </c>
      <c r="R121" s="34" t="str" cm="1">
        <f t="array" ref="R121">IF($A121="","",IF($J121="No","",GetMatchingValue($XFD$9,"Original","Control Number",R$2,$A121)))</f>
        <v/>
      </c>
      <c r="S121" s="34" t="str" cm="1">
        <f t="array" ref="S121">IF($A121="","",IF($J121="No","",GetMatchingValue($XFD$9,"Original","Control Number",S$2,$A121)))</f>
        <v/>
      </c>
      <c r="T121" s="34" t="str" cm="1">
        <f t="array" ref="T121">IF($A121="","",IF($J121="No","",GetMatchingValue($XFD$9,"Original","Control Number",T$2,$A121)))</f>
        <v/>
      </c>
      <c r="U121" s="34" t="str" cm="1">
        <f t="array" ref="U121">IF($A121="","",IF($J121="No","",GetMatchingValue($XFD$9,"Original","Control Number",U$2,$A121)))</f>
        <v/>
      </c>
      <c r="V121" s="14"/>
      <c r="W121" s="17"/>
      <c r="X121" s="17"/>
      <c r="Y121" s="17"/>
      <c r="Z121" s="13"/>
      <c r="AA121" s="13"/>
      <c r="AB121" s="13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3"/>
    </row>
    <row r="122" spans="1:45" ht="36" customHeight="1" x14ac:dyDescent="0.2">
      <c r="A122" s="13"/>
      <c r="B122" s="14"/>
      <c r="C122" s="15"/>
      <c r="D122" s="15"/>
      <c r="E122" s="13"/>
      <c r="F122" s="34" t="str" cm="1">
        <f t="array" ref="F122">IF($A122="","",GetMatchingValue($XFD$8,"Original","Control Number",F$2,$A122))</f>
        <v/>
      </c>
      <c r="G122" s="34" t="str" cm="1">
        <f t="array" ref="G122">IF($A122="","",GetMatchingValue($XFD$8,"Original","Control Number",G$2,$A122))</f>
        <v/>
      </c>
      <c r="H122" s="34" t="str" cm="1">
        <f t="array" ref="H122">IF($A122="","",GetMatchingValue($XFD$8,"Original","Control Number",H$2,$A122))</f>
        <v/>
      </c>
      <c r="I122" s="13"/>
      <c r="J122" s="13" t="str" cm="1">
        <f t="array" ref="J122">IF($A122="","",CheckControlNumberExists($XFD$9, "Original", $A122))</f>
        <v/>
      </c>
      <c r="K122" s="34" t="str" cm="1">
        <f t="array" ref="K122">IF($A122="","",IF($J122="No","",GetMatchingValue($XFD$9,"Original","Control Number",K$2,$A122)))</f>
        <v/>
      </c>
      <c r="L122" s="34" t="str" cm="1">
        <f t="array" ref="L122">IF($A122="","",IF($J122="No","",GetMatchingValue($XFD$9,"Original","Control Number",L$2,$A122)))</f>
        <v/>
      </c>
      <c r="M122" s="13" t="str">
        <f t="shared" ca="1" si="3"/>
        <v/>
      </c>
      <c r="N122" s="16"/>
      <c r="O122" s="34" t="str" cm="1">
        <f t="array" ref="O122">IF($A122="","",IF($J122="No","",GetMatchingValue($XFD$9,"Original","Control Number",O$2,$A122)))</f>
        <v/>
      </c>
      <c r="P122" s="34" t="str" cm="1">
        <f t="array" ref="P122">IF($A122="","",IF($J122="No","",GetMatchingValue($XFD$9,"Original","Control Number",P$2,$A122)))</f>
        <v/>
      </c>
      <c r="Q122" s="34" t="str" cm="1">
        <f t="array" ref="Q122">IF($A122="","",IF($J122="No","",GetMatchingValue($XFD$9,"Original","Control Number",Q$2,$A122)))</f>
        <v/>
      </c>
      <c r="R122" s="34" t="str" cm="1">
        <f t="array" ref="R122">IF($A122="","",IF($J122="No","",GetMatchingValue($XFD$9,"Original","Control Number",R$2,$A122)))</f>
        <v/>
      </c>
      <c r="S122" s="34" t="str" cm="1">
        <f t="array" ref="S122">IF($A122="","",IF($J122="No","",GetMatchingValue($XFD$9,"Original","Control Number",S$2,$A122)))</f>
        <v/>
      </c>
      <c r="T122" s="34" t="str" cm="1">
        <f t="array" ref="T122">IF($A122="","",IF($J122="No","",GetMatchingValue($XFD$9,"Original","Control Number",T$2,$A122)))</f>
        <v/>
      </c>
      <c r="U122" s="34" t="str" cm="1">
        <f t="array" ref="U122">IF($A122="","",IF($J122="No","",GetMatchingValue($XFD$9,"Original","Control Number",U$2,$A122)))</f>
        <v/>
      </c>
      <c r="V122" s="14"/>
      <c r="W122" s="17"/>
      <c r="X122" s="17"/>
      <c r="Y122" s="17"/>
      <c r="Z122" s="13"/>
      <c r="AA122" s="13"/>
      <c r="AB122" s="13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3"/>
    </row>
    <row r="123" spans="1:45" ht="36" customHeight="1" x14ac:dyDescent="0.2">
      <c r="A123" s="13"/>
      <c r="B123" s="14"/>
      <c r="C123" s="15"/>
      <c r="D123" s="15"/>
      <c r="E123" s="13"/>
      <c r="F123" s="34" t="str" cm="1">
        <f t="array" ref="F123">IF($A123="","",GetMatchingValue($XFD$8,"Original","Control Number",F$2,$A123))</f>
        <v/>
      </c>
      <c r="G123" s="34" t="str" cm="1">
        <f t="array" ref="G123">IF($A123="","",GetMatchingValue($XFD$8,"Original","Control Number",G$2,$A123))</f>
        <v/>
      </c>
      <c r="H123" s="34" t="str" cm="1">
        <f t="array" ref="H123">IF($A123="","",GetMatchingValue($XFD$8,"Original","Control Number",H$2,$A123))</f>
        <v/>
      </c>
      <c r="I123" s="13"/>
      <c r="J123" s="13" t="str" cm="1">
        <f t="array" ref="J123">IF($A123="","",CheckControlNumberExists($XFD$9, "Original", $A123))</f>
        <v/>
      </c>
      <c r="K123" s="34" t="str" cm="1">
        <f t="array" ref="K123">IF($A123="","",IF($J123="No","",GetMatchingValue($XFD$9,"Original","Control Number",K$2,$A123)))</f>
        <v/>
      </c>
      <c r="L123" s="34" t="str" cm="1">
        <f t="array" ref="L123">IF($A123="","",IF($J123="No","",GetMatchingValue($XFD$9,"Original","Control Number",L$2,$A123)))</f>
        <v/>
      </c>
      <c r="M123" s="13" t="str">
        <f t="shared" ca="1" si="3"/>
        <v/>
      </c>
      <c r="N123" s="16"/>
      <c r="O123" s="34" t="str" cm="1">
        <f t="array" ref="O123">IF($A123="","",IF($J123="No","",GetMatchingValue($XFD$9,"Original","Control Number",O$2,$A123)))</f>
        <v/>
      </c>
      <c r="P123" s="34" t="str" cm="1">
        <f t="array" ref="P123">IF($A123="","",IF($J123="No","",GetMatchingValue($XFD$9,"Original","Control Number",P$2,$A123)))</f>
        <v/>
      </c>
      <c r="Q123" s="34" t="str" cm="1">
        <f t="array" ref="Q123">IF($A123="","",IF($J123="No","",GetMatchingValue($XFD$9,"Original","Control Number",Q$2,$A123)))</f>
        <v/>
      </c>
      <c r="R123" s="34" t="str" cm="1">
        <f t="array" ref="R123">IF($A123="","",IF($J123="No","",GetMatchingValue($XFD$9,"Original","Control Number",R$2,$A123)))</f>
        <v/>
      </c>
      <c r="S123" s="34" t="str" cm="1">
        <f t="array" ref="S123">IF($A123="","",IF($J123="No","",GetMatchingValue($XFD$9,"Original","Control Number",S$2,$A123)))</f>
        <v/>
      </c>
      <c r="T123" s="34" t="str" cm="1">
        <f t="array" ref="T123">IF($A123="","",IF($J123="No","",GetMatchingValue($XFD$9,"Original","Control Number",T$2,$A123)))</f>
        <v/>
      </c>
      <c r="U123" s="34" t="str" cm="1">
        <f t="array" ref="U123">IF($A123="","",IF($J123="No","",GetMatchingValue($XFD$9,"Original","Control Number",U$2,$A123)))</f>
        <v/>
      </c>
      <c r="V123" s="14"/>
      <c r="W123" s="17"/>
      <c r="X123" s="17"/>
      <c r="Y123" s="17"/>
      <c r="Z123" s="13"/>
      <c r="AA123" s="13"/>
      <c r="AB123" s="13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3"/>
    </row>
    <row r="124" spans="1:45" ht="36" customHeight="1" x14ac:dyDescent="0.2">
      <c r="A124" s="13"/>
      <c r="B124" s="14"/>
      <c r="C124" s="15"/>
      <c r="D124" s="15"/>
      <c r="E124" s="13"/>
      <c r="F124" s="34" t="str" cm="1">
        <f t="array" ref="F124">IF($A124="","",GetMatchingValue($XFD$8,"Original","Control Number",F$2,$A124))</f>
        <v/>
      </c>
      <c r="G124" s="34" t="str" cm="1">
        <f t="array" ref="G124">IF($A124="","",GetMatchingValue($XFD$8,"Original","Control Number",G$2,$A124))</f>
        <v/>
      </c>
      <c r="H124" s="34" t="str" cm="1">
        <f t="array" ref="H124">IF($A124="","",GetMatchingValue($XFD$8,"Original","Control Number",H$2,$A124))</f>
        <v/>
      </c>
      <c r="I124" s="13"/>
      <c r="J124" s="13" t="str" cm="1">
        <f t="array" ref="J124">IF($A124="","",CheckControlNumberExists($XFD$9, "Original", $A124))</f>
        <v/>
      </c>
      <c r="K124" s="34" t="str" cm="1">
        <f t="array" ref="K124">IF($A124="","",IF($J124="No","",GetMatchingValue($XFD$9,"Original","Control Number",K$2,$A124)))</f>
        <v/>
      </c>
      <c r="L124" s="34" t="str" cm="1">
        <f t="array" ref="L124">IF($A124="","",IF($J124="No","",GetMatchingValue($XFD$9,"Original","Control Number",L$2,$A124)))</f>
        <v/>
      </c>
      <c r="M124" s="13" t="str">
        <f t="shared" ca="1" si="3"/>
        <v/>
      </c>
      <c r="N124" s="16"/>
      <c r="O124" s="34" t="str" cm="1">
        <f t="array" ref="O124">IF($A124="","",IF($J124="No","",GetMatchingValue($XFD$9,"Original","Control Number",O$2,$A124)))</f>
        <v/>
      </c>
      <c r="P124" s="34" t="str" cm="1">
        <f t="array" ref="P124">IF($A124="","",IF($J124="No","",GetMatchingValue($XFD$9,"Original","Control Number",P$2,$A124)))</f>
        <v/>
      </c>
      <c r="Q124" s="34" t="str" cm="1">
        <f t="array" ref="Q124">IF($A124="","",IF($J124="No","",GetMatchingValue($XFD$9,"Original","Control Number",Q$2,$A124)))</f>
        <v/>
      </c>
      <c r="R124" s="34" t="str" cm="1">
        <f t="array" ref="R124">IF($A124="","",IF($J124="No","",GetMatchingValue($XFD$9,"Original","Control Number",R$2,$A124)))</f>
        <v/>
      </c>
      <c r="S124" s="34" t="str" cm="1">
        <f t="array" ref="S124">IF($A124="","",IF($J124="No","",GetMatchingValue($XFD$9,"Original","Control Number",S$2,$A124)))</f>
        <v/>
      </c>
      <c r="T124" s="34" t="str" cm="1">
        <f t="array" ref="T124">IF($A124="","",IF($J124="No","",GetMatchingValue($XFD$9,"Original","Control Number",T$2,$A124)))</f>
        <v/>
      </c>
      <c r="U124" s="34" t="str" cm="1">
        <f t="array" ref="U124">IF($A124="","",IF($J124="No","",GetMatchingValue($XFD$9,"Original","Control Number",U$2,$A124)))</f>
        <v/>
      </c>
      <c r="V124" s="14"/>
      <c r="W124" s="17"/>
      <c r="X124" s="17"/>
      <c r="Y124" s="17"/>
      <c r="Z124" s="13"/>
      <c r="AA124" s="13"/>
      <c r="AB124" s="13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3"/>
    </row>
    <row r="125" spans="1:45" ht="36" customHeight="1" x14ac:dyDescent="0.2">
      <c r="A125" s="13"/>
      <c r="B125" s="14"/>
      <c r="C125" s="15"/>
      <c r="D125" s="15"/>
      <c r="E125" s="13"/>
      <c r="F125" s="34" t="str" cm="1">
        <f t="array" ref="F125">IF($A125="","",GetMatchingValue($XFD$8,"Original","Control Number",F$2,$A125))</f>
        <v/>
      </c>
      <c r="G125" s="34" t="str" cm="1">
        <f t="array" ref="G125">IF($A125="","",GetMatchingValue($XFD$8,"Original","Control Number",G$2,$A125))</f>
        <v/>
      </c>
      <c r="H125" s="34" t="str" cm="1">
        <f t="array" ref="H125">IF($A125="","",GetMatchingValue($XFD$8,"Original","Control Number",H$2,$A125))</f>
        <v/>
      </c>
      <c r="I125" s="13"/>
      <c r="J125" s="13" t="str" cm="1">
        <f t="array" ref="J125">IF($A125="","",CheckControlNumberExists($XFD$9, "Original", $A125))</f>
        <v/>
      </c>
      <c r="K125" s="34" t="str" cm="1">
        <f t="array" ref="K125">IF($A125="","",IF($J125="No","",GetMatchingValue($XFD$9,"Original","Control Number",K$2,$A125)))</f>
        <v/>
      </c>
      <c r="L125" s="34" t="str" cm="1">
        <f t="array" ref="L125">IF($A125="","",IF($J125="No","",GetMatchingValue($XFD$9,"Original","Control Number",L$2,$A125)))</f>
        <v/>
      </c>
      <c r="M125" s="13" t="str">
        <f t="shared" ca="1" si="3"/>
        <v/>
      </c>
      <c r="N125" s="16"/>
      <c r="O125" s="34" t="str" cm="1">
        <f t="array" ref="O125">IF($A125="","",IF($J125="No","",GetMatchingValue($XFD$9,"Original","Control Number",O$2,$A125)))</f>
        <v/>
      </c>
      <c r="P125" s="34" t="str" cm="1">
        <f t="array" ref="P125">IF($A125="","",IF($J125="No","",GetMatchingValue($XFD$9,"Original","Control Number",P$2,$A125)))</f>
        <v/>
      </c>
      <c r="Q125" s="34" t="str" cm="1">
        <f t="array" ref="Q125">IF($A125="","",IF($J125="No","",GetMatchingValue($XFD$9,"Original","Control Number",Q$2,$A125)))</f>
        <v/>
      </c>
      <c r="R125" s="34" t="str" cm="1">
        <f t="array" ref="R125">IF($A125="","",IF($J125="No","",GetMatchingValue($XFD$9,"Original","Control Number",R$2,$A125)))</f>
        <v/>
      </c>
      <c r="S125" s="34" t="str" cm="1">
        <f t="array" ref="S125">IF($A125="","",IF($J125="No","",GetMatchingValue($XFD$9,"Original","Control Number",S$2,$A125)))</f>
        <v/>
      </c>
      <c r="T125" s="34" t="str" cm="1">
        <f t="array" ref="T125">IF($A125="","",IF($J125="No","",GetMatchingValue($XFD$9,"Original","Control Number",T$2,$A125)))</f>
        <v/>
      </c>
      <c r="U125" s="34" t="str" cm="1">
        <f t="array" ref="U125">IF($A125="","",IF($J125="No","",GetMatchingValue($XFD$9,"Original","Control Number",U$2,$A125)))</f>
        <v/>
      </c>
      <c r="V125" s="14"/>
      <c r="W125" s="17"/>
      <c r="X125" s="17"/>
      <c r="Y125" s="17"/>
      <c r="Z125" s="13"/>
      <c r="AA125" s="13"/>
      <c r="AB125" s="13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3"/>
    </row>
    <row r="126" spans="1:45" ht="36" customHeight="1" x14ac:dyDescent="0.2">
      <c r="A126" s="13"/>
      <c r="B126" s="14"/>
      <c r="C126" s="15"/>
      <c r="D126" s="15"/>
      <c r="E126" s="13"/>
      <c r="F126" s="34" t="str" cm="1">
        <f t="array" ref="F126">IF($A126="","",GetMatchingValue($XFD$8,"Original","Control Number",F$2,$A126))</f>
        <v/>
      </c>
      <c r="G126" s="34" t="str" cm="1">
        <f t="array" ref="G126">IF($A126="","",GetMatchingValue($XFD$8,"Original","Control Number",G$2,$A126))</f>
        <v/>
      </c>
      <c r="H126" s="34" t="str" cm="1">
        <f t="array" ref="H126">IF($A126="","",GetMatchingValue($XFD$8,"Original","Control Number",H$2,$A126))</f>
        <v/>
      </c>
      <c r="I126" s="13"/>
      <c r="J126" s="13" t="str" cm="1">
        <f t="array" ref="J126">IF($A126="","",CheckControlNumberExists($XFD$9, "Original", $A126))</f>
        <v/>
      </c>
      <c r="K126" s="34" t="str" cm="1">
        <f t="array" ref="K126">IF($A126="","",IF($J126="No","",GetMatchingValue($XFD$9,"Original","Control Number",K$2,$A126)))</f>
        <v/>
      </c>
      <c r="L126" s="34" t="str" cm="1">
        <f t="array" ref="L126">IF($A126="","",IF($J126="No","",GetMatchingValue($XFD$9,"Original","Control Number",L$2,$A126)))</f>
        <v/>
      </c>
      <c r="M126" s="13" t="str">
        <f t="shared" ca="1" si="3"/>
        <v/>
      </c>
      <c r="N126" s="16"/>
      <c r="O126" s="34" t="str" cm="1">
        <f t="array" ref="O126">IF($A126="","",IF($J126="No","",GetMatchingValue($XFD$9,"Original","Control Number",O$2,$A126)))</f>
        <v/>
      </c>
      <c r="P126" s="34" t="str" cm="1">
        <f t="array" ref="P126">IF($A126="","",IF($J126="No","",GetMatchingValue($XFD$9,"Original","Control Number",P$2,$A126)))</f>
        <v/>
      </c>
      <c r="Q126" s="34" t="str" cm="1">
        <f t="array" ref="Q126">IF($A126="","",IF($J126="No","",GetMatchingValue($XFD$9,"Original","Control Number",Q$2,$A126)))</f>
        <v/>
      </c>
      <c r="R126" s="34" t="str" cm="1">
        <f t="array" ref="R126">IF($A126="","",IF($J126="No","",GetMatchingValue($XFD$9,"Original","Control Number",R$2,$A126)))</f>
        <v/>
      </c>
      <c r="S126" s="34" t="str" cm="1">
        <f t="array" ref="S126">IF($A126="","",IF($J126="No","",GetMatchingValue($XFD$9,"Original","Control Number",S$2,$A126)))</f>
        <v/>
      </c>
      <c r="T126" s="34" t="str" cm="1">
        <f t="array" ref="T126">IF($A126="","",IF($J126="No","",GetMatchingValue($XFD$9,"Original","Control Number",T$2,$A126)))</f>
        <v/>
      </c>
      <c r="U126" s="34" t="str" cm="1">
        <f t="array" ref="U126">IF($A126="","",IF($J126="No","",GetMatchingValue($XFD$9,"Original","Control Number",U$2,$A126)))</f>
        <v/>
      </c>
      <c r="V126" s="14"/>
      <c r="W126" s="17"/>
      <c r="X126" s="17"/>
      <c r="Y126" s="17"/>
      <c r="Z126" s="13"/>
      <c r="AA126" s="13"/>
      <c r="AB126" s="13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3"/>
    </row>
    <row r="127" spans="1:45" ht="36" customHeight="1" x14ac:dyDescent="0.2">
      <c r="A127" s="13"/>
      <c r="B127" s="14"/>
      <c r="C127" s="15"/>
      <c r="D127" s="15"/>
      <c r="E127" s="13"/>
      <c r="F127" s="34" t="str" cm="1">
        <f t="array" ref="F127">IF($A127="","",GetMatchingValue($XFD$8,"Original","Control Number",F$2,$A127))</f>
        <v/>
      </c>
      <c r="G127" s="34" t="str" cm="1">
        <f t="array" ref="G127">IF($A127="","",GetMatchingValue($XFD$8,"Original","Control Number",G$2,$A127))</f>
        <v/>
      </c>
      <c r="H127" s="34" t="str" cm="1">
        <f t="array" ref="H127">IF($A127="","",GetMatchingValue($XFD$8,"Original","Control Number",H$2,$A127))</f>
        <v/>
      </c>
      <c r="I127" s="13"/>
      <c r="J127" s="13" t="str" cm="1">
        <f t="array" ref="J127">IF($A127="","",CheckControlNumberExists($XFD$9, "Original", $A127))</f>
        <v/>
      </c>
      <c r="K127" s="34" t="str" cm="1">
        <f t="array" ref="K127">IF($A127="","",IF($J127="No","",GetMatchingValue($XFD$9,"Original","Control Number",K$2,$A127)))</f>
        <v/>
      </c>
      <c r="L127" s="34" t="str" cm="1">
        <f t="array" ref="L127">IF($A127="","",IF($J127="No","",GetMatchingValue($XFD$9,"Original","Control Number",L$2,$A127)))</f>
        <v/>
      </c>
      <c r="M127" s="13" t="str">
        <f t="shared" ca="1" si="3"/>
        <v/>
      </c>
      <c r="N127" s="16"/>
      <c r="O127" s="34" t="str" cm="1">
        <f t="array" ref="O127">IF($A127="","",IF($J127="No","",GetMatchingValue($XFD$9,"Original","Control Number",O$2,$A127)))</f>
        <v/>
      </c>
      <c r="P127" s="34" t="str" cm="1">
        <f t="array" ref="P127">IF($A127="","",IF($J127="No","",GetMatchingValue($XFD$9,"Original","Control Number",P$2,$A127)))</f>
        <v/>
      </c>
      <c r="Q127" s="34" t="str" cm="1">
        <f t="array" ref="Q127">IF($A127="","",IF($J127="No","",GetMatchingValue($XFD$9,"Original","Control Number",Q$2,$A127)))</f>
        <v/>
      </c>
      <c r="R127" s="34" t="str" cm="1">
        <f t="array" ref="R127">IF($A127="","",IF($J127="No","",GetMatchingValue($XFD$9,"Original","Control Number",R$2,$A127)))</f>
        <v/>
      </c>
      <c r="S127" s="34" t="str" cm="1">
        <f t="array" ref="S127">IF($A127="","",IF($J127="No","",GetMatchingValue($XFD$9,"Original","Control Number",S$2,$A127)))</f>
        <v/>
      </c>
      <c r="T127" s="34" t="str" cm="1">
        <f t="array" ref="T127">IF($A127="","",IF($J127="No","",GetMatchingValue($XFD$9,"Original","Control Number",T$2,$A127)))</f>
        <v/>
      </c>
      <c r="U127" s="34" t="str" cm="1">
        <f t="array" ref="U127">IF($A127="","",IF($J127="No","",GetMatchingValue($XFD$9,"Original","Control Number",U$2,$A127)))</f>
        <v/>
      </c>
      <c r="V127" s="14"/>
      <c r="W127" s="17"/>
      <c r="X127" s="17"/>
      <c r="Y127" s="17"/>
      <c r="Z127" s="13"/>
      <c r="AA127" s="13"/>
      <c r="AB127" s="13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3"/>
    </row>
    <row r="128" spans="1:45" ht="36" customHeight="1" x14ac:dyDescent="0.2">
      <c r="A128" s="13"/>
      <c r="B128" s="14"/>
      <c r="C128" s="15"/>
      <c r="D128" s="15"/>
      <c r="E128" s="13"/>
      <c r="F128" s="34" t="str" cm="1">
        <f t="array" ref="F128">IF($A128="","",GetMatchingValue($XFD$8,"Original","Control Number",F$2,$A128))</f>
        <v/>
      </c>
      <c r="G128" s="34" t="str" cm="1">
        <f t="array" ref="G128">IF($A128="","",GetMatchingValue($XFD$8,"Original","Control Number",G$2,$A128))</f>
        <v/>
      </c>
      <c r="H128" s="34" t="str" cm="1">
        <f t="array" ref="H128">IF($A128="","",GetMatchingValue($XFD$8,"Original","Control Number",H$2,$A128))</f>
        <v/>
      </c>
      <c r="I128" s="13"/>
      <c r="J128" s="13" t="str" cm="1">
        <f t="array" ref="J128">IF($A128="","",CheckControlNumberExists($XFD$9, "Original", $A128))</f>
        <v/>
      </c>
      <c r="K128" s="34" t="str" cm="1">
        <f t="array" ref="K128">IF($A128="","",IF($J128="No","",GetMatchingValue($XFD$9,"Original","Control Number",K$2,$A128)))</f>
        <v/>
      </c>
      <c r="L128" s="34" t="str" cm="1">
        <f t="array" ref="L128">IF($A128="","",IF($J128="No","",GetMatchingValue($XFD$9,"Original","Control Number",L$2,$A128)))</f>
        <v/>
      </c>
      <c r="M128" s="13" t="str">
        <f t="shared" ca="1" si="3"/>
        <v/>
      </c>
      <c r="N128" s="16"/>
      <c r="O128" s="34" t="str" cm="1">
        <f t="array" ref="O128">IF($A128="","",IF($J128="No","",GetMatchingValue($XFD$9,"Original","Control Number",O$2,$A128)))</f>
        <v/>
      </c>
      <c r="P128" s="34" t="str" cm="1">
        <f t="array" ref="P128">IF($A128="","",IF($J128="No","",GetMatchingValue($XFD$9,"Original","Control Number",P$2,$A128)))</f>
        <v/>
      </c>
      <c r="Q128" s="34" t="str" cm="1">
        <f t="array" ref="Q128">IF($A128="","",IF($J128="No","",GetMatchingValue($XFD$9,"Original","Control Number",Q$2,$A128)))</f>
        <v/>
      </c>
      <c r="R128" s="34" t="str" cm="1">
        <f t="array" ref="R128">IF($A128="","",IF($J128="No","",GetMatchingValue($XFD$9,"Original","Control Number",R$2,$A128)))</f>
        <v/>
      </c>
      <c r="S128" s="34" t="str" cm="1">
        <f t="array" ref="S128">IF($A128="","",IF($J128="No","",GetMatchingValue($XFD$9,"Original","Control Number",S$2,$A128)))</f>
        <v/>
      </c>
      <c r="T128" s="34" t="str" cm="1">
        <f t="array" ref="T128">IF($A128="","",IF($J128="No","",GetMatchingValue($XFD$9,"Original","Control Number",T$2,$A128)))</f>
        <v/>
      </c>
      <c r="U128" s="34" t="str" cm="1">
        <f t="array" ref="U128">IF($A128="","",IF($J128="No","",GetMatchingValue($XFD$9,"Original","Control Number",U$2,$A128)))</f>
        <v/>
      </c>
      <c r="V128" s="14"/>
      <c r="W128" s="17"/>
      <c r="X128" s="17"/>
      <c r="Y128" s="17"/>
      <c r="Z128" s="13"/>
      <c r="AA128" s="13"/>
      <c r="AB128" s="13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3"/>
    </row>
    <row r="129" spans="1:45" ht="36" customHeight="1" x14ac:dyDescent="0.2">
      <c r="A129" s="13"/>
      <c r="B129" s="14"/>
      <c r="C129" s="15"/>
      <c r="D129" s="15"/>
      <c r="E129" s="13"/>
      <c r="F129" s="34" t="str" cm="1">
        <f t="array" ref="F129">IF($A129="","",GetMatchingValue($XFD$8,"Original","Control Number",F$2,$A129))</f>
        <v/>
      </c>
      <c r="G129" s="34" t="str" cm="1">
        <f t="array" ref="G129">IF($A129="","",GetMatchingValue($XFD$8,"Original","Control Number",G$2,$A129))</f>
        <v/>
      </c>
      <c r="H129" s="34" t="str" cm="1">
        <f t="array" ref="H129">IF($A129="","",GetMatchingValue($XFD$8,"Original","Control Number",H$2,$A129))</f>
        <v/>
      </c>
      <c r="I129" s="13"/>
      <c r="J129" s="13" t="str" cm="1">
        <f t="array" ref="J129">IF($A129="","",CheckControlNumberExists($XFD$9, "Original", $A129))</f>
        <v/>
      </c>
      <c r="K129" s="34" t="str" cm="1">
        <f t="array" ref="K129">IF($A129="","",IF($J129="No","",GetMatchingValue($XFD$9,"Original","Control Number",K$2,$A129)))</f>
        <v/>
      </c>
      <c r="L129" s="34" t="str" cm="1">
        <f t="array" ref="L129">IF($A129="","",IF($J129="No","",GetMatchingValue($XFD$9,"Original","Control Number",L$2,$A129)))</f>
        <v/>
      </c>
      <c r="M129" s="13" t="str">
        <f t="shared" ca="1" si="3"/>
        <v/>
      </c>
      <c r="N129" s="16"/>
      <c r="O129" s="34" t="str" cm="1">
        <f t="array" ref="O129">IF($A129="","",IF($J129="No","",GetMatchingValue($XFD$9,"Original","Control Number",O$2,$A129)))</f>
        <v/>
      </c>
      <c r="P129" s="34" t="str" cm="1">
        <f t="array" ref="P129">IF($A129="","",IF($J129="No","",GetMatchingValue($XFD$9,"Original","Control Number",P$2,$A129)))</f>
        <v/>
      </c>
      <c r="Q129" s="34" t="str" cm="1">
        <f t="array" ref="Q129">IF($A129="","",IF($J129="No","",GetMatchingValue($XFD$9,"Original","Control Number",Q$2,$A129)))</f>
        <v/>
      </c>
      <c r="R129" s="34" t="str" cm="1">
        <f t="array" ref="R129">IF($A129="","",IF($J129="No","",GetMatchingValue($XFD$9,"Original","Control Number",R$2,$A129)))</f>
        <v/>
      </c>
      <c r="S129" s="34" t="str" cm="1">
        <f t="array" ref="S129">IF($A129="","",IF($J129="No","",GetMatchingValue($XFD$9,"Original","Control Number",S$2,$A129)))</f>
        <v/>
      </c>
      <c r="T129" s="34" t="str" cm="1">
        <f t="array" ref="T129">IF($A129="","",IF($J129="No","",GetMatchingValue($XFD$9,"Original","Control Number",T$2,$A129)))</f>
        <v/>
      </c>
      <c r="U129" s="34" t="str" cm="1">
        <f t="array" ref="U129">IF($A129="","",IF($J129="No","",GetMatchingValue($XFD$9,"Original","Control Number",U$2,$A129)))</f>
        <v/>
      </c>
      <c r="V129" s="14"/>
      <c r="W129" s="17"/>
      <c r="X129" s="17"/>
      <c r="Y129" s="17"/>
      <c r="Z129" s="13"/>
      <c r="AA129" s="13"/>
      <c r="AB129" s="13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3"/>
    </row>
    <row r="130" spans="1:45" ht="36" customHeight="1" x14ac:dyDescent="0.2">
      <c r="A130" s="13"/>
      <c r="B130" s="14"/>
      <c r="C130" s="15"/>
      <c r="D130" s="15"/>
      <c r="E130" s="13"/>
      <c r="F130" s="34" t="str" cm="1">
        <f t="array" ref="F130">IF($A130="","",GetMatchingValue($XFD$8,"Original","Control Number",F$2,$A130))</f>
        <v/>
      </c>
      <c r="G130" s="34" t="str" cm="1">
        <f t="array" ref="G130">IF($A130="","",GetMatchingValue($XFD$8,"Original","Control Number",G$2,$A130))</f>
        <v/>
      </c>
      <c r="H130" s="34" t="str" cm="1">
        <f t="array" ref="H130">IF($A130="","",GetMatchingValue($XFD$8,"Original","Control Number",H$2,$A130))</f>
        <v/>
      </c>
      <c r="I130" s="13"/>
      <c r="J130" s="13" t="str" cm="1">
        <f t="array" ref="J130">IF($A130="","",CheckControlNumberExists($XFD$9, "Original", $A130))</f>
        <v/>
      </c>
      <c r="K130" s="34" t="str" cm="1">
        <f t="array" ref="K130">IF($A130="","",IF($J130="No","",GetMatchingValue($XFD$9,"Original","Control Number",K$2,$A130)))</f>
        <v/>
      </c>
      <c r="L130" s="34" t="str" cm="1">
        <f t="array" ref="L130">IF($A130="","",IF($J130="No","",GetMatchingValue($XFD$9,"Original","Control Number",L$2,$A130)))</f>
        <v/>
      </c>
      <c r="M130" s="13" t="str">
        <f t="shared" ca="1" si="3"/>
        <v/>
      </c>
      <c r="N130" s="16"/>
      <c r="O130" s="34" t="str" cm="1">
        <f t="array" ref="O130">IF($A130="","",IF($J130="No","",GetMatchingValue($XFD$9,"Original","Control Number",O$2,$A130)))</f>
        <v/>
      </c>
      <c r="P130" s="34" t="str" cm="1">
        <f t="array" ref="P130">IF($A130="","",IF($J130="No","",GetMatchingValue($XFD$9,"Original","Control Number",P$2,$A130)))</f>
        <v/>
      </c>
      <c r="Q130" s="34" t="str" cm="1">
        <f t="array" ref="Q130">IF($A130="","",IF($J130="No","",GetMatchingValue($XFD$9,"Original","Control Number",Q$2,$A130)))</f>
        <v/>
      </c>
      <c r="R130" s="34" t="str" cm="1">
        <f t="array" ref="R130">IF($A130="","",IF($J130="No","",GetMatchingValue($XFD$9,"Original","Control Number",R$2,$A130)))</f>
        <v/>
      </c>
      <c r="S130" s="34" t="str" cm="1">
        <f t="array" ref="S130">IF($A130="","",IF($J130="No","",GetMatchingValue($XFD$9,"Original","Control Number",S$2,$A130)))</f>
        <v/>
      </c>
      <c r="T130" s="34" t="str" cm="1">
        <f t="array" ref="T130">IF($A130="","",IF($J130="No","",GetMatchingValue($XFD$9,"Original","Control Number",T$2,$A130)))</f>
        <v/>
      </c>
      <c r="U130" s="34" t="str" cm="1">
        <f t="array" ref="U130">IF($A130="","",IF($J130="No","",GetMatchingValue($XFD$9,"Original","Control Number",U$2,$A130)))</f>
        <v/>
      </c>
      <c r="V130" s="14"/>
      <c r="W130" s="17"/>
      <c r="X130" s="17"/>
      <c r="Y130" s="17"/>
      <c r="Z130" s="13"/>
      <c r="AA130" s="13"/>
      <c r="AB130" s="13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3"/>
    </row>
    <row r="131" spans="1:45" ht="36" customHeight="1" x14ac:dyDescent="0.2">
      <c r="A131" s="13"/>
      <c r="B131" s="14"/>
      <c r="C131" s="15"/>
      <c r="D131" s="15"/>
      <c r="E131" s="13"/>
      <c r="F131" s="34" t="str" cm="1">
        <f t="array" ref="F131">IF($A131="","",GetMatchingValue($XFD$8,"Original","Control Number",F$2,$A131))</f>
        <v/>
      </c>
      <c r="G131" s="34" t="str" cm="1">
        <f t="array" ref="G131">IF($A131="","",GetMatchingValue($XFD$8,"Original","Control Number",G$2,$A131))</f>
        <v/>
      </c>
      <c r="H131" s="34" t="str" cm="1">
        <f t="array" ref="H131">IF($A131="","",GetMatchingValue($XFD$8,"Original","Control Number",H$2,$A131))</f>
        <v/>
      </c>
      <c r="I131" s="13"/>
      <c r="J131" s="13" t="str" cm="1">
        <f t="array" ref="J131">IF($A131="","",CheckControlNumberExists($XFD$9, "Original", $A131))</f>
        <v/>
      </c>
      <c r="K131" s="34" t="str" cm="1">
        <f t="array" ref="K131">IF($A131="","",IF($J131="No","",GetMatchingValue($XFD$9,"Original","Control Number",K$2,$A131)))</f>
        <v/>
      </c>
      <c r="L131" s="34" t="str" cm="1">
        <f t="array" ref="L131">IF($A131="","",IF($J131="No","",GetMatchingValue($XFD$9,"Original","Control Number",L$2,$A131)))</f>
        <v/>
      </c>
      <c r="M131" s="13" t="str">
        <f t="shared" ca="1" si="3"/>
        <v/>
      </c>
      <c r="N131" s="16"/>
      <c r="O131" s="34" t="str" cm="1">
        <f t="array" ref="O131">IF($A131="","",IF($J131="No","",GetMatchingValue($XFD$9,"Original","Control Number",O$2,$A131)))</f>
        <v/>
      </c>
      <c r="P131" s="34" t="str" cm="1">
        <f t="array" ref="P131">IF($A131="","",IF($J131="No","",GetMatchingValue($XFD$9,"Original","Control Number",P$2,$A131)))</f>
        <v/>
      </c>
      <c r="Q131" s="34" t="str" cm="1">
        <f t="array" ref="Q131">IF($A131="","",IF($J131="No","",GetMatchingValue($XFD$9,"Original","Control Number",Q$2,$A131)))</f>
        <v/>
      </c>
      <c r="R131" s="34" t="str" cm="1">
        <f t="array" ref="R131">IF($A131="","",IF($J131="No","",GetMatchingValue($XFD$9,"Original","Control Number",R$2,$A131)))</f>
        <v/>
      </c>
      <c r="S131" s="34" t="str" cm="1">
        <f t="array" ref="S131">IF($A131="","",IF($J131="No","",GetMatchingValue($XFD$9,"Original","Control Number",S$2,$A131)))</f>
        <v/>
      </c>
      <c r="T131" s="34" t="str" cm="1">
        <f t="array" ref="T131">IF($A131="","",IF($J131="No","",GetMatchingValue($XFD$9,"Original","Control Number",T$2,$A131)))</f>
        <v/>
      </c>
      <c r="U131" s="34" t="str" cm="1">
        <f t="array" ref="U131">IF($A131="","",IF($J131="No","",GetMatchingValue($XFD$9,"Original","Control Number",U$2,$A131)))</f>
        <v/>
      </c>
      <c r="V131" s="14"/>
      <c r="W131" s="17"/>
      <c r="X131" s="17"/>
      <c r="Y131" s="17"/>
      <c r="Z131" s="13"/>
      <c r="AA131" s="13"/>
      <c r="AB131" s="13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3"/>
    </row>
    <row r="132" spans="1:45" ht="36" customHeight="1" x14ac:dyDescent="0.2">
      <c r="A132" s="13"/>
      <c r="B132" s="14"/>
      <c r="C132" s="15"/>
      <c r="D132" s="15"/>
      <c r="E132" s="13"/>
      <c r="F132" s="34" t="str" cm="1">
        <f t="array" ref="F132">IF($A132="","",GetMatchingValue($XFD$8,"Original","Control Number",F$2,$A132))</f>
        <v/>
      </c>
      <c r="G132" s="34" t="str" cm="1">
        <f t="array" ref="G132">IF($A132="","",GetMatchingValue($XFD$8,"Original","Control Number",G$2,$A132))</f>
        <v/>
      </c>
      <c r="H132" s="34" t="str" cm="1">
        <f t="array" ref="H132">IF($A132="","",GetMatchingValue($XFD$8,"Original","Control Number",H$2,$A132))</f>
        <v/>
      </c>
      <c r="I132" s="13"/>
      <c r="J132" s="13" t="str" cm="1">
        <f t="array" ref="J132">IF($A132="","",CheckControlNumberExists($XFD$9, "Original", $A132))</f>
        <v/>
      </c>
      <c r="K132" s="34" t="str" cm="1">
        <f t="array" ref="K132">IF($A132="","",IF($J132="No","",GetMatchingValue($XFD$9,"Original","Control Number",K$2,$A132)))</f>
        <v/>
      </c>
      <c r="L132" s="34" t="str" cm="1">
        <f t="array" ref="L132">IF($A132="","",IF($J132="No","",GetMatchingValue($XFD$9,"Original","Control Number",L$2,$A132)))</f>
        <v/>
      </c>
      <c r="M132" s="13" t="str">
        <f t="shared" ca="1" si="3"/>
        <v/>
      </c>
      <c r="N132" s="16"/>
      <c r="O132" s="34" t="str" cm="1">
        <f t="array" ref="O132">IF($A132="","",IF($J132="No","",GetMatchingValue($XFD$9,"Original","Control Number",O$2,$A132)))</f>
        <v/>
      </c>
      <c r="P132" s="34" t="str" cm="1">
        <f t="array" ref="P132">IF($A132="","",IF($J132="No","",GetMatchingValue($XFD$9,"Original","Control Number",P$2,$A132)))</f>
        <v/>
      </c>
      <c r="Q132" s="34" t="str" cm="1">
        <f t="array" ref="Q132">IF($A132="","",IF($J132="No","",GetMatchingValue($XFD$9,"Original","Control Number",Q$2,$A132)))</f>
        <v/>
      </c>
      <c r="R132" s="34" t="str" cm="1">
        <f t="array" ref="R132">IF($A132="","",IF($J132="No","",GetMatchingValue($XFD$9,"Original","Control Number",R$2,$A132)))</f>
        <v/>
      </c>
      <c r="S132" s="34" t="str" cm="1">
        <f t="array" ref="S132">IF($A132="","",IF($J132="No","",GetMatchingValue($XFD$9,"Original","Control Number",S$2,$A132)))</f>
        <v/>
      </c>
      <c r="T132" s="34" t="str" cm="1">
        <f t="array" ref="T132">IF($A132="","",IF($J132="No","",GetMatchingValue($XFD$9,"Original","Control Number",T$2,$A132)))</f>
        <v/>
      </c>
      <c r="U132" s="34" t="str" cm="1">
        <f t="array" ref="U132">IF($A132="","",IF($J132="No","",GetMatchingValue($XFD$9,"Original","Control Number",U$2,$A132)))</f>
        <v/>
      </c>
      <c r="V132" s="14"/>
      <c r="W132" s="17"/>
      <c r="X132" s="17"/>
      <c r="Y132" s="17"/>
      <c r="Z132" s="13"/>
      <c r="AA132" s="13"/>
      <c r="AB132" s="13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3"/>
    </row>
    <row r="133" spans="1:45" ht="36" customHeight="1" x14ac:dyDescent="0.2">
      <c r="A133" s="18"/>
      <c r="B133" s="14"/>
      <c r="C133" s="15"/>
      <c r="D133" s="15"/>
      <c r="E133" s="13"/>
      <c r="F133" s="34" t="str" cm="1">
        <f t="array" ref="F133">IF($A133="","",GetMatchingValue($XFD$8,"Original","Control Number",F$2,$A133))</f>
        <v/>
      </c>
      <c r="G133" s="34" t="str" cm="1">
        <f t="array" ref="G133">IF($A133="","",GetMatchingValue($XFD$8,"Original","Control Number",G$2,$A133))</f>
        <v/>
      </c>
      <c r="H133" s="34" t="str" cm="1">
        <f t="array" ref="H133">IF($A133="","",GetMatchingValue($XFD$8,"Original","Control Number",H$2,$A133))</f>
        <v/>
      </c>
      <c r="I133" s="13"/>
      <c r="J133" s="13" t="str" cm="1">
        <f t="array" ref="J133">IF($A133="","",CheckControlNumberExists($XFD$9, "Original", $A133))</f>
        <v/>
      </c>
      <c r="K133" s="34" t="str" cm="1">
        <f t="array" ref="K133">IF($A133="","",IF($J133="No","",GetMatchingValue($XFD$9,"Original","Control Number",K$2,$A133)))</f>
        <v/>
      </c>
      <c r="L133" s="34" t="str" cm="1">
        <f t="array" ref="L133">IF($A133="","",IF($J133="No","",GetMatchingValue($XFD$9,"Original","Control Number",L$2,$A133)))</f>
        <v/>
      </c>
      <c r="M133" s="13" t="str">
        <f t="shared" ca="1" si="3"/>
        <v/>
      </c>
      <c r="N133" s="16"/>
      <c r="O133" s="34" t="str" cm="1">
        <f t="array" ref="O133">IF($A133="","",IF($J133="No","",GetMatchingValue($XFD$9,"Original","Control Number",O$2,$A133)))</f>
        <v/>
      </c>
      <c r="P133" s="34" t="str" cm="1">
        <f t="array" ref="P133">IF($A133="","",IF($J133="No","",GetMatchingValue($XFD$9,"Original","Control Number",P$2,$A133)))</f>
        <v/>
      </c>
      <c r="Q133" s="34" t="str" cm="1">
        <f t="array" ref="Q133">IF($A133="","",IF($J133="No","",GetMatchingValue($XFD$9,"Original","Control Number",Q$2,$A133)))</f>
        <v/>
      </c>
      <c r="R133" s="34" t="str" cm="1">
        <f t="array" ref="R133">IF($A133="","",IF($J133="No","",GetMatchingValue($XFD$9,"Original","Control Number",R$2,$A133)))</f>
        <v/>
      </c>
      <c r="S133" s="34" t="str" cm="1">
        <f t="array" ref="S133">IF($A133="","",IF($J133="No","",GetMatchingValue($XFD$9,"Original","Control Number",S$2,$A133)))</f>
        <v/>
      </c>
      <c r="T133" s="34" t="str" cm="1">
        <f t="array" ref="T133">IF($A133="","",IF($J133="No","",GetMatchingValue($XFD$9,"Original","Control Number",T$2,$A133)))</f>
        <v/>
      </c>
      <c r="U133" s="34" t="str" cm="1">
        <f t="array" ref="U133">IF($A133="","",IF($J133="No","",GetMatchingValue($XFD$9,"Original","Control Number",U$2,$A133)))</f>
        <v/>
      </c>
      <c r="V133" s="14"/>
      <c r="W133" s="17"/>
      <c r="X133" s="17"/>
      <c r="Y133" s="17"/>
      <c r="Z133" s="13"/>
      <c r="AA133" s="13"/>
      <c r="AB133" s="13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3"/>
    </row>
    <row r="134" spans="1:45" ht="40.5" customHeight="1" x14ac:dyDescent="0.2">
      <c r="A134" s="13"/>
      <c r="B134" s="14"/>
      <c r="C134" s="15"/>
      <c r="D134" s="15"/>
      <c r="E134" s="13"/>
      <c r="F134" s="34" t="str" cm="1">
        <f t="array" ref="F134">IF($A134="","",GetMatchingValue($XFD$8,"Original","Control Number",F$2,$A134))</f>
        <v/>
      </c>
      <c r="G134" s="34" t="str" cm="1">
        <f t="array" ref="G134">IF($A134="","",GetMatchingValue($XFD$8,"Original","Control Number",G$2,$A134))</f>
        <v/>
      </c>
      <c r="H134" s="34" t="str" cm="1">
        <f t="array" ref="H134">IF($A134="","",GetMatchingValue($XFD$8,"Original","Control Number",H$2,$A134))</f>
        <v/>
      </c>
      <c r="I134" s="13"/>
      <c r="J134" s="13" t="str" cm="1">
        <f t="array" ref="J134">IF($A134="","",CheckControlNumberExists($XFD$9, "Original", $A134))</f>
        <v/>
      </c>
      <c r="K134" s="34" t="str" cm="1">
        <f t="array" ref="K134">IF($A134="","",IF($J134="No","",GetMatchingValue($XFD$9,"Original","Control Number",K$2,$A134)))</f>
        <v/>
      </c>
      <c r="L134" s="34" t="str" cm="1">
        <f t="array" ref="L134">IF($A134="","",IF($J134="No","",GetMatchingValue($XFD$9,"Original","Control Number",L$2,$A134)))</f>
        <v/>
      </c>
      <c r="M134" s="13" t="str">
        <f t="shared" ca="1" si="3"/>
        <v/>
      </c>
      <c r="N134" s="16"/>
      <c r="O134" s="34" t="str" cm="1">
        <f t="array" ref="O134">IF($A134="","",IF($J134="No","",GetMatchingValue($XFD$9,"Original","Control Number",O$2,$A134)))</f>
        <v/>
      </c>
      <c r="P134" s="34" t="str" cm="1">
        <f t="array" ref="P134">IF($A134="","",IF($J134="No","",GetMatchingValue($XFD$9,"Original","Control Number",P$2,$A134)))</f>
        <v/>
      </c>
      <c r="Q134" s="34" t="str" cm="1">
        <f t="array" ref="Q134">IF($A134="","",IF($J134="No","",GetMatchingValue($XFD$9,"Original","Control Number",Q$2,$A134)))</f>
        <v/>
      </c>
      <c r="R134" s="34" t="str" cm="1">
        <f t="array" ref="R134">IF($A134="","",IF($J134="No","",GetMatchingValue($XFD$9,"Original","Control Number",R$2,$A134)))</f>
        <v/>
      </c>
      <c r="S134" s="34" t="str" cm="1">
        <f t="array" ref="S134">IF($A134="","",IF($J134="No","",GetMatchingValue($XFD$9,"Original","Control Number",S$2,$A134)))</f>
        <v/>
      </c>
      <c r="T134" s="34" t="str" cm="1">
        <f t="array" ref="T134">IF($A134="","",IF($J134="No","",GetMatchingValue($XFD$9,"Original","Control Number",T$2,$A134)))</f>
        <v/>
      </c>
      <c r="U134" s="34" t="str" cm="1">
        <f t="array" ref="U134">IF($A134="","",IF($J134="No","",GetMatchingValue($XFD$9,"Original","Control Number",U$2,$A134)))</f>
        <v/>
      </c>
      <c r="V134" s="14"/>
      <c r="W134" s="17"/>
      <c r="X134" s="17"/>
      <c r="Y134" s="17"/>
      <c r="Z134" s="13"/>
      <c r="AA134" s="13"/>
      <c r="AB134" s="13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3"/>
    </row>
    <row r="135" spans="1:45" ht="40.5" customHeight="1" x14ac:dyDescent="0.2">
      <c r="A135" s="13"/>
      <c r="B135" s="14"/>
      <c r="C135" s="15"/>
      <c r="D135" s="15"/>
      <c r="E135" s="13"/>
      <c r="F135" s="34" t="str" cm="1">
        <f t="array" ref="F135">IF($A135="","",GetMatchingValue($XFD$8,"Original","Control Number",F$2,$A135))</f>
        <v/>
      </c>
      <c r="G135" s="34" t="str" cm="1">
        <f t="array" ref="G135">IF($A135="","",GetMatchingValue($XFD$8,"Original","Control Number",G$2,$A135))</f>
        <v/>
      </c>
      <c r="H135" s="34" t="str" cm="1">
        <f t="array" ref="H135">IF($A135="","",GetMatchingValue($XFD$8,"Original","Control Number",H$2,$A135))</f>
        <v/>
      </c>
      <c r="I135" s="13"/>
      <c r="J135" s="13" t="str" cm="1">
        <f t="array" ref="J135">IF($A135="","",CheckControlNumberExists($XFD$9, "Original", $A135))</f>
        <v/>
      </c>
      <c r="K135" s="34" t="str" cm="1">
        <f t="array" ref="K135">IF($A135="","",IF($J135="No","",GetMatchingValue($XFD$9,"Original","Control Number",K$2,$A135)))</f>
        <v/>
      </c>
      <c r="L135" s="34" t="str" cm="1">
        <f t="array" ref="L135">IF($A135="","",IF($J135="No","",GetMatchingValue($XFD$9,"Original","Control Number",L$2,$A135)))</f>
        <v/>
      </c>
      <c r="M135" s="13" t="str">
        <f t="shared" ca="1" si="3"/>
        <v/>
      </c>
      <c r="N135" s="16"/>
      <c r="O135" s="34" t="str" cm="1">
        <f t="array" ref="O135">IF($A135="","",IF($J135="No","",GetMatchingValue($XFD$9,"Original","Control Number",O$2,$A135)))</f>
        <v/>
      </c>
      <c r="P135" s="34" t="str" cm="1">
        <f t="array" ref="P135">IF($A135="","",IF($J135="No","",GetMatchingValue($XFD$9,"Original","Control Number",P$2,$A135)))</f>
        <v/>
      </c>
      <c r="Q135" s="34" t="str" cm="1">
        <f t="array" ref="Q135">IF($A135="","",IF($J135="No","",GetMatchingValue($XFD$9,"Original","Control Number",Q$2,$A135)))</f>
        <v/>
      </c>
      <c r="R135" s="34" t="str" cm="1">
        <f t="array" ref="R135">IF($A135="","",IF($J135="No","",GetMatchingValue($XFD$9,"Original","Control Number",R$2,$A135)))</f>
        <v/>
      </c>
      <c r="S135" s="34" t="str" cm="1">
        <f t="array" ref="S135">IF($A135="","",IF($J135="No","",GetMatchingValue($XFD$9,"Original","Control Number",S$2,$A135)))</f>
        <v/>
      </c>
      <c r="T135" s="34" t="str" cm="1">
        <f t="array" ref="T135">IF($A135="","",IF($J135="No","",GetMatchingValue($XFD$9,"Original","Control Number",T$2,$A135)))</f>
        <v/>
      </c>
      <c r="U135" s="34" t="str" cm="1">
        <f t="array" ref="U135">IF($A135="","",IF($J135="No","",GetMatchingValue($XFD$9,"Original","Control Number",U$2,$A135)))</f>
        <v/>
      </c>
      <c r="V135" s="14"/>
      <c r="W135" s="17"/>
      <c r="X135" s="17"/>
      <c r="Y135" s="17"/>
      <c r="Z135" s="13"/>
      <c r="AA135" s="13"/>
      <c r="AB135" s="13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3"/>
    </row>
    <row r="136" spans="1:45" ht="40.5" customHeight="1" x14ac:dyDescent="0.2">
      <c r="A136" s="19"/>
      <c r="B136" s="14"/>
      <c r="C136" s="15"/>
      <c r="D136" s="15"/>
      <c r="E136" s="13"/>
      <c r="F136" s="34" t="str" cm="1">
        <f t="array" ref="F136">IF($A136="","",GetMatchingValue($XFD$8,"Original","Control Number",F$2,$A136))</f>
        <v/>
      </c>
      <c r="G136" s="34" t="str" cm="1">
        <f t="array" ref="G136">IF($A136="","",GetMatchingValue($XFD$8,"Original","Control Number",G$2,$A136))</f>
        <v/>
      </c>
      <c r="H136" s="34" t="str" cm="1">
        <f t="array" ref="H136">IF($A136="","",GetMatchingValue($XFD$8,"Original","Control Number",H$2,$A136))</f>
        <v/>
      </c>
      <c r="I136" s="13"/>
      <c r="J136" s="13" t="str" cm="1">
        <f t="array" ref="J136">IF($A136="","",CheckControlNumberExists($XFD$9, "Original", $A136))</f>
        <v/>
      </c>
      <c r="K136" s="34" t="str" cm="1">
        <f t="array" ref="K136">IF($A136="","",IF($J136="No","",GetMatchingValue($XFD$9,"Original","Control Number",K$2,$A136)))</f>
        <v/>
      </c>
      <c r="L136" s="34" t="str" cm="1">
        <f t="array" ref="L136">IF($A136="","",IF($J136="No","",GetMatchingValue($XFD$9,"Original","Control Number",L$2,$A136)))</f>
        <v/>
      </c>
      <c r="M136" s="13" t="str">
        <f t="shared" ca="1" si="3"/>
        <v/>
      </c>
      <c r="N136" s="16"/>
      <c r="O136" s="34" t="str" cm="1">
        <f t="array" ref="O136">IF($A136="","",IF($J136="No","",GetMatchingValue($XFD$9,"Original","Control Number",O$2,$A136)))</f>
        <v/>
      </c>
      <c r="P136" s="34" t="str" cm="1">
        <f t="array" ref="P136">IF($A136="","",IF($J136="No","",GetMatchingValue($XFD$9,"Original","Control Number",P$2,$A136)))</f>
        <v/>
      </c>
      <c r="Q136" s="34" t="str" cm="1">
        <f t="array" ref="Q136">IF($A136="","",IF($J136="No","",GetMatchingValue($XFD$9,"Original","Control Number",Q$2,$A136)))</f>
        <v/>
      </c>
      <c r="R136" s="34" t="str" cm="1">
        <f t="array" ref="R136">IF($A136="","",IF($J136="No","",GetMatchingValue($XFD$9,"Original","Control Number",R$2,$A136)))</f>
        <v/>
      </c>
      <c r="S136" s="34" t="str" cm="1">
        <f t="array" ref="S136">IF($A136="","",IF($J136="No","",GetMatchingValue($XFD$9,"Original","Control Number",S$2,$A136)))</f>
        <v/>
      </c>
      <c r="T136" s="34" t="str" cm="1">
        <f t="array" ref="T136">IF($A136="","",IF($J136="No","",GetMatchingValue($XFD$9,"Original","Control Number",T$2,$A136)))</f>
        <v/>
      </c>
      <c r="U136" s="34" t="str" cm="1">
        <f t="array" ref="U136">IF($A136="","",IF($J136="No","",GetMatchingValue($XFD$9,"Original","Control Number",U$2,$A136)))</f>
        <v/>
      </c>
      <c r="V136" s="14"/>
      <c r="W136" s="17"/>
      <c r="X136" s="17"/>
      <c r="Y136" s="17"/>
      <c r="Z136" s="13"/>
      <c r="AA136" s="13"/>
      <c r="AB136" s="13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3"/>
    </row>
    <row r="137" spans="1:45" ht="40.5" customHeight="1" x14ac:dyDescent="0.2">
      <c r="A137" s="19"/>
      <c r="B137" s="14"/>
      <c r="C137" s="15"/>
      <c r="D137" s="15"/>
      <c r="E137" s="13"/>
      <c r="F137" s="34" t="str" cm="1">
        <f t="array" ref="F137">IF($A137="","",GetMatchingValue($XFD$8,"Original","Control Number",F$2,$A137))</f>
        <v/>
      </c>
      <c r="G137" s="34" t="str" cm="1">
        <f t="array" ref="G137">IF($A137="","",GetMatchingValue($XFD$8,"Original","Control Number",G$2,$A137))</f>
        <v/>
      </c>
      <c r="H137" s="34" t="str" cm="1">
        <f t="array" ref="H137">IF($A137="","",GetMatchingValue($XFD$8,"Original","Control Number",H$2,$A137))</f>
        <v/>
      </c>
      <c r="I137" s="13"/>
      <c r="J137" s="13" t="str" cm="1">
        <f t="array" ref="J137">IF($A137="","",CheckControlNumberExists($XFD$9, "Original", $A137))</f>
        <v/>
      </c>
      <c r="K137" s="34" t="str" cm="1">
        <f t="array" ref="K137">IF($A137="","",IF($J137="No","",GetMatchingValue($XFD$9,"Original","Control Number",K$2,$A137)))</f>
        <v/>
      </c>
      <c r="L137" s="34" t="str" cm="1">
        <f t="array" ref="L137">IF($A137="","",IF($J137="No","",GetMatchingValue($XFD$9,"Original","Control Number",L$2,$A137)))</f>
        <v/>
      </c>
      <c r="M137" s="13" t="str">
        <f t="shared" ref="M137:M200" ca="1" si="4">IFERROR(INDEX(
    INDIRECT($XFD$7 &amp; ADDRESS(2, MATCH(M$2, INDIRECT($XFD$7 &amp; "1:1"), 0)) &amp; ":" &amp; ADDRESS(65536, MATCH(M$2, INDIRECT($XFD$7 &amp; "1:1"), 0))),
    MATCH($A137, INDIRECT($XFD$7 &amp; ADDRESS(2, MATCH("Control Number", INDIRECT($XFD$7 &amp; "1:1"), 0)) &amp; ":" &amp; ADDRESS(65536, MATCH("Control Number", INDIRECT($XFD$7 &amp; "1:1"), 0))), 0)
),"")</f>
        <v/>
      </c>
      <c r="N137" s="16"/>
      <c r="O137" s="34" t="str" cm="1">
        <f t="array" ref="O137">IF($A137="","",IF($J137="No","",GetMatchingValue($XFD$9,"Original","Control Number",O$2,$A137)))</f>
        <v/>
      </c>
      <c r="P137" s="34" t="str" cm="1">
        <f t="array" ref="P137">IF($A137="","",IF($J137="No","",GetMatchingValue($XFD$9,"Original","Control Number",P$2,$A137)))</f>
        <v/>
      </c>
      <c r="Q137" s="34" t="str" cm="1">
        <f t="array" ref="Q137">IF($A137="","",IF($J137="No","",GetMatchingValue($XFD$9,"Original","Control Number",Q$2,$A137)))</f>
        <v/>
      </c>
      <c r="R137" s="34" t="str" cm="1">
        <f t="array" ref="R137">IF($A137="","",IF($J137="No","",GetMatchingValue($XFD$9,"Original","Control Number",R$2,$A137)))</f>
        <v/>
      </c>
      <c r="S137" s="34" t="str" cm="1">
        <f t="array" ref="S137">IF($A137="","",IF($J137="No","",GetMatchingValue($XFD$9,"Original","Control Number",S$2,$A137)))</f>
        <v/>
      </c>
      <c r="T137" s="34" t="str" cm="1">
        <f t="array" ref="T137">IF($A137="","",IF($J137="No","",GetMatchingValue($XFD$9,"Original","Control Number",T$2,$A137)))</f>
        <v/>
      </c>
      <c r="U137" s="34" t="str" cm="1">
        <f t="array" ref="U137">IF($A137="","",IF($J137="No","",GetMatchingValue($XFD$9,"Original","Control Number",U$2,$A137)))</f>
        <v/>
      </c>
      <c r="V137" s="14"/>
      <c r="W137" s="17"/>
      <c r="X137" s="17"/>
      <c r="Y137" s="17"/>
      <c r="Z137" s="13"/>
      <c r="AA137" s="13"/>
      <c r="AB137" s="13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3"/>
    </row>
    <row r="138" spans="1:45" ht="40.5" customHeight="1" x14ac:dyDescent="0.2">
      <c r="A138" s="13"/>
      <c r="B138" s="14"/>
      <c r="C138" s="15"/>
      <c r="D138" s="15"/>
      <c r="E138" s="13"/>
      <c r="F138" s="34" t="str" cm="1">
        <f t="array" ref="F138">IF($A138="","",GetMatchingValue($XFD$8,"Original","Control Number",F$2,$A138))</f>
        <v/>
      </c>
      <c r="G138" s="34" t="str" cm="1">
        <f t="array" ref="G138">IF($A138="","",GetMatchingValue($XFD$8,"Original","Control Number",G$2,$A138))</f>
        <v/>
      </c>
      <c r="H138" s="34" t="str" cm="1">
        <f t="array" ref="H138">IF($A138="","",GetMatchingValue($XFD$8,"Original","Control Number",H$2,$A138))</f>
        <v/>
      </c>
      <c r="I138" s="13"/>
      <c r="J138" s="13" t="str" cm="1">
        <f t="array" ref="J138">IF($A138="","",CheckControlNumberExists($XFD$9, "Original", $A138))</f>
        <v/>
      </c>
      <c r="K138" s="34" t="str" cm="1">
        <f t="array" ref="K138">IF($A138="","",IF($J138="No","",GetMatchingValue($XFD$9,"Original","Control Number",K$2,$A138)))</f>
        <v/>
      </c>
      <c r="L138" s="34" t="str" cm="1">
        <f t="array" ref="L138">IF($A138="","",IF($J138="No","",GetMatchingValue($XFD$9,"Original","Control Number",L$2,$A138)))</f>
        <v/>
      </c>
      <c r="M138" s="13" t="str">
        <f t="shared" ca="1" si="4"/>
        <v/>
      </c>
      <c r="N138" s="16"/>
      <c r="O138" s="34" t="str" cm="1">
        <f t="array" ref="O138">IF($A138="","",IF($J138="No","",GetMatchingValue($XFD$9,"Original","Control Number",O$2,$A138)))</f>
        <v/>
      </c>
      <c r="P138" s="34" t="str" cm="1">
        <f t="array" ref="P138">IF($A138="","",IF($J138="No","",GetMatchingValue($XFD$9,"Original","Control Number",P$2,$A138)))</f>
        <v/>
      </c>
      <c r="Q138" s="34" t="str" cm="1">
        <f t="array" ref="Q138">IF($A138="","",IF($J138="No","",GetMatchingValue($XFD$9,"Original","Control Number",Q$2,$A138)))</f>
        <v/>
      </c>
      <c r="R138" s="34" t="str" cm="1">
        <f t="array" ref="R138">IF($A138="","",IF($J138="No","",GetMatchingValue($XFD$9,"Original","Control Number",R$2,$A138)))</f>
        <v/>
      </c>
      <c r="S138" s="34" t="str" cm="1">
        <f t="array" ref="S138">IF($A138="","",IF($J138="No","",GetMatchingValue($XFD$9,"Original","Control Number",S$2,$A138)))</f>
        <v/>
      </c>
      <c r="T138" s="34" t="str" cm="1">
        <f t="array" ref="T138">IF($A138="","",IF($J138="No","",GetMatchingValue($XFD$9,"Original","Control Number",T$2,$A138)))</f>
        <v/>
      </c>
      <c r="U138" s="34" t="str" cm="1">
        <f t="array" ref="U138">IF($A138="","",IF($J138="No","",GetMatchingValue($XFD$9,"Original","Control Number",U$2,$A138)))</f>
        <v/>
      </c>
      <c r="V138" s="14"/>
      <c r="W138" s="17"/>
      <c r="X138" s="17"/>
      <c r="Y138" s="17"/>
      <c r="Z138" s="13"/>
      <c r="AA138" s="13"/>
      <c r="AB138" s="13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3"/>
    </row>
    <row r="139" spans="1:45" ht="40.5" customHeight="1" x14ac:dyDescent="0.2">
      <c r="A139" s="13"/>
      <c r="B139" s="14"/>
      <c r="C139" s="15"/>
      <c r="D139" s="15"/>
      <c r="E139" s="13"/>
      <c r="F139" s="34" t="str" cm="1">
        <f t="array" ref="F139">IF($A139="","",GetMatchingValue($XFD$8,"Original","Control Number",F$2,$A139))</f>
        <v/>
      </c>
      <c r="G139" s="34" t="str" cm="1">
        <f t="array" ref="G139">IF($A139="","",GetMatchingValue($XFD$8,"Original","Control Number",G$2,$A139))</f>
        <v/>
      </c>
      <c r="H139" s="34" t="str" cm="1">
        <f t="array" ref="H139">IF($A139="","",GetMatchingValue($XFD$8,"Original","Control Number",H$2,$A139))</f>
        <v/>
      </c>
      <c r="I139" s="13"/>
      <c r="J139" s="13" t="str" cm="1">
        <f t="array" ref="J139">IF($A139="","",CheckControlNumberExists($XFD$9, "Original", $A139))</f>
        <v/>
      </c>
      <c r="K139" s="34" t="str" cm="1">
        <f t="array" ref="K139">IF($A139="","",IF($J139="No","",GetMatchingValue($XFD$9,"Original","Control Number",K$2,$A139)))</f>
        <v/>
      </c>
      <c r="L139" s="34" t="str" cm="1">
        <f t="array" ref="L139">IF($A139="","",IF($J139="No","",GetMatchingValue($XFD$9,"Original","Control Number",L$2,$A139)))</f>
        <v/>
      </c>
      <c r="M139" s="13" t="str">
        <f t="shared" ca="1" si="4"/>
        <v/>
      </c>
      <c r="N139" s="16"/>
      <c r="O139" s="34" t="str" cm="1">
        <f t="array" ref="O139">IF($A139="","",IF($J139="No","",GetMatchingValue($XFD$9,"Original","Control Number",O$2,$A139)))</f>
        <v/>
      </c>
      <c r="P139" s="34" t="str" cm="1">
        <f t="array" ref="P139">IF($A139="","",IF($J139="No","",GetMatchingValue($XFD$9,"Original","Control Number",P$2,$A139)))</f>
        <v/>
      </c>
      <c r="Q139" s="34" t="str" cm="1">
        <f t="array" ref="Q139">IF($A139="","",IF($J139="No","",GetMatchingValue($XFD$9,"Original","Control Number",Q$2,$A139)))</f>
        <v/>
      </c>
      <c r="R139" s="34" t="str" cm="1">
        <f t="array" ref="R139">IF($A139="","",IF($J139="No","",GetMatchingValue($XFD$9,"Original","Control Number",R$2,$A139)))</f>
        <v/>
      </c>
      <c r="S139" s="34" t="str" cm="1">
        <f t="array" ref="S139">IF($A139="","",IF($J139="No","",GetMatchingValue($XFD$9,"Original","Control Number",S$2,$A139)))</f>
        <v/>
      </c>
      <c r="T139" s="34" t="str" cm="1">
        <f t="array" ref="T139">IF($A139="","",IF($J139="No","",GetMatchingValue($XFD$9,"Original","Control Number",T$2,$A139)))</f>
        <v/>
      </c>
      <c r="U139" s="34" t="str" cm="1">
        <f t="array" ref="U139">IF($A139="","",IF($J139="No","",GetMatchingValue($XFD$9,"Original","Control Number",U$2,$A139)))</f>
        <v/>
      </c>
      <c r="V139" s="14"/>
      <c r="W139" s="17"/>
      <c r="X139" s="17"/>
      <c r="Y139" s="17"/>
      <c r="Z139" s="13"/>
      <c r="AA139" s="13"/>
      <c r="AB139" s="13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3"/>
    </row>
    <row r="140" spans="1:45" ht="40.5" customHeight="1" x14ac:dyDescent="0.2">
      <c r="A140" s="14"/>
      <c r="B140" s="14"/>
      <c r="C140" s="15"/>
      <c r="D140" s="15"/>
      <c r="E140" s="13"/>
      <c r="F140" s="34" t="str" cm="1">
        <f t="array" ref="F140">IF($A140="","",GetMatchingValue($XFD$8,"Original","Control Number",F$2,$A140))</f>
        <v/>
      </c>
      <c r="G140" s="34" t="str" cm="1">
        <f t="array" ref="G140">IF($A140="","",GetMatchingValue($XFD$8,"Original","Control Number",G$2,$A140))</f>
        <v/>
      </c>
      <c r="H140" s="34" t="str" cm="1">
        <f t="array" ref="H140">IF($A140="","",GetMatchingValue($XFD$8,"Original","Control Number",H$2,$A140))</f>
        <v/>
      </c>
      <c r="I140" s="13"/>
      <c r="J140" s="13" t="str" cm="1">
        <f t="array" ref="J140">IF($A140="","",CheckControlNumberExists($XFD$9, "Original", $A140))</f>
        <v/>
      </c>
      <c r="K140" s="34" t="str" cm="1">
        <f t="array" ref="K140">IF($A140="","",IF($J140="No","",GetMatchingValue($XFD$9,"Original","Control Number",K$2,$A140)))</f>
        <v/>
      </c>
      <c r="L140" s="34" t="str" cm="1">
        <f t="array" ref="L140">IF($A140="","",IF($J140="No","",GetMatchingValue($XFD$9,"Original","Control Number",L$2,$A140)))</f>
        <v/>
      </c>
      <c r="M140" s="13" t="str">
        <f t="shared" ca="1" si="4"/>
        <v/>
      </c>
      <c r="N140" s="16"/>
      <c r="O140" s="34" t="str" cm="1">
        <f t="array" ref="O140">IF($A140="","",IF($J140="No","",GetMatchingValue($XFD$9,"Original","Control Number",O$2,$A140)))</f>
        <v/>
      </c>
      <c r="P140" s="34" t="str" cm="1">
        <f t="array" ref="P140">IF($A140="","",IF($J140="No","",GetMatchingValue($XFD$9,"Original","Control Number",P$2,$A140)))</f>
        <v/>
      </c>
      <c r="Q140" s="34" t="str" cm="1">
        <f t="array" ref="Q140">IF($A140="","",IF($J140="No","",GetMatchingValue($XFD$9,"Original","Control Number",Q$2,$A140)))</f>
        <v/>
      </c>
      <c r="R140" s="34" t="str" cm="1">
        <f t="array" ref="R140">IF($A140="","",IF($J140="No","",GetMatchingValue($XFD$9,"Original","Control Number",R$2,$A140)))</f>
        <v/>
      </c>
      <c r="S140" s="34" t="str" cm="1">
        <f t="array" ref="S140">IF($A140="","",IF($J140="No","",GetMatchingValue($XFD$9,"Original","Control Number",S$2,$A140)))</f>
        <v/>
      </c>
      <c r="T140" s="34" t="str" cm="1">
        <f t="array" ref="T140">IF($A140="","",IF($J140="No","",GetMatchingValue($XFD$9,"Original","Control Number",T$2,$A140)))</f>
        <v/>
      </c>
      <c r="U140" s="34" t="str" cm="1">
        <f t="array" ref="U140">IF($A140="","",IF($J140="No","",GetMatchingValue($XFD$9,"Original","Control Number",U$2,$A140)))</f>
        <v/>
      </c>
      <c r="V140" s="14"/>
      <c r="W140" s="17"/>
      <c r="X140" s="17"/>
      <c r="Y140" s="17"/>
      <c r="Z140" s="13"/>
      <c r="AA140" s="13"/>
      <c r="AB140" s="13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3"/>
    </row>
    <row r="141" spans="1:45" ht="40.5" customHeight="1" x14ac:dyDescent="0.2">
      <c r="A141" s="13"/>
      <c r="B141" s="14"/>
      <c r="C141" s="15"/>
      <c r="D141" s="15"/>
      <c r="E141" s="13"/>
      <c r="F141" s="34" t="str" cm="1">
        <f t="array" ref="F141">IF($A141="","",GetMatchingValue($XFD$8,"Original","Control Number",F$2,$A141))</f>
        <v/>
      </c>
      <c r="G141" s="34" t="str" cm="1">
        <f t="array" ref="G141">IF($A141="","",GetMatchingValue($XFD$8,"Original","Control Number",G$2,$A141))</f>
        <v/>
      </c>
      <c r="H141" s="34" t="str" cm="1">
        <f t="array" ref="H141">IF($A141="","",GetMatchingValue($XFD$8,"Original","Control Number",H$2,$A141))</f>
        <v/>
      </c>
      <c r="I141" s="13"/>
      <c r="J141" s="13" t="str" cm="1">
        <f t="array" ref="J141">IF($A141="","",CheckControlNumberExists($XFD$9, "Original", $A141))</f>
        <v/>
      </c>
      <c r="K141" s="34" t="str" cm="1">
        <f t="array" ref="K141">IF($A141="","",IF($J141="No","",GetMatchingValue($XFD$9,"Original","Control Number",K$2,$A141)))</f>
        <v/>
      </c>
      <c r="L141" s="34" t="str" cm="1">
        <f t="array" ref="L141">IF($A141="","",IF($J141="No","",GetMatchingValue($XFD$9,"Original","Control Number",L$2,$A141)))</f>
        <v/>
      </c>
      <c r="M141" s="13" t="str">
        <f t="shared" ca="1" si="4"/>
        <v/>
      </c>
      <c r="N141" s="16"/>
      <c r="O141" s="34" t="str" cm="1">
        <f t="array" ref="O141">IF($A141="","",IF($J141="No","",GetMatchingValue($XFD$9,"Original","Control Number",O$2,$A141)))</f>
        <v/>
      </c>
      <c r="P141" s="34" t="str" cm="1">
        <f t="array" ref="P141">IF($A141="","",IF($J141="No","",GetMatchingValue($XFD$9,"Original","Control Number",P$2,$A141)))</f>
        <v/>
      </c>
      <c r="Q141" s="34" t="str" cm="1">
        <f t="array" ref="Q141">IF($A141="","",IF($J141="No","",GetMatchingValue($XFD$9,"Original","Control Number",Q$2,$A141)))</f>
        <v/>
      </c>
      <c r="R141" s="34" t="str" cm="1">
        <f t="array" ref="R141">IF($A141="","",IF($J141="No","",GetMatchingValue($XFD$9,"Original","Control Number",R$2,$A141)))</f>
        <v/>
      </c>
      <c r="S141" s="34" t="str" cm="1">
        <f t="array" ref="S141">IF($A141="","",IF($J141="No","",GetMatchingValue($XFD$9,"Original","Control Number",S$2,$A141)))</f>
        <v/>
      </c>
      <c r="T141" s="34" t="str" cm="1">
        <f t="array" ref="T141">IF($A141="","",IF($J141="No","",GetMatchingValue($XFD$9,"Original","Control Number",T$2,$A141)))</f>
        <v/>
      </c>
      <c r="U141" s="34" t="str" cm="1">
        <f t="array" ref="U141">IF($A141="","",IF($J141="No","",GetMatchingValue($XFD$9,"Original","Control Number",U$2,$A141)))</f>
        <v/>
      </c>
      <c r="V141" s="14"/>
      <c r="W141" s="17"/>
      <c r="X141" s="17"/>
      <c r="Y141" s="17"/>
      <c r="Z141" s="13"/>
      <c r="AA141" s="13"/>
      <c r="AB141" s="13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3"/>
    </row>
    <row r="142" spans="1:45" ht="40.5" customHeight="1" x14ac:dyDescent="0.2">
      <c r="A142" s="18"/>
      <c r="B142" s="14"/>
      <c r="C142" s="15"/>
      <c r="D142" s="15"/>
      <c r="E142" s="13"/>
      <c r="F142" s="34" t="str" cm="1">
        <f t="array" ref="F142">IF($A142="","",GetMatchingValue($XFD$8,"Original","Control Number",F$2,$A142))</f>
        <v/>
      </c>
      <c r="G142" s="34" t="str" cm="1">
        <f t="array" ref="G142">IF($A142="","",GetMatchingValue($XFD$8,"Original","Control Number",G$2,$A142))</f>
        <v/>
      </c>
      <c r="H142" s="34" t="str" cm="1">
        <f t="array" ref="H142">IF($A142="","",GetMatchingValue($XFD$8,"Original","Control Number",H$2,$A142))</f>
        <v/>
      </c>
      <c r="I142" s="13"/>
      <c r="J142" s="13" t="str" cm="1">
        <f t="array" ref="J142">IF($A142="","",CheckControlNumberExists($XFD$9, "Original", $A142))</f>
        <v/>
      </c>
      <c r="K142" s="34" t="str" cm="1">
        <f t="array" ref="K142">IF($A142="","",IF($J142="No","",GetMatchingValue($XFD$9,"Original","Control Number",K$2,$A142)))</f>
        <v/>
      </c>
      <c r="L142" s="34" t="str" cm="1">
        <f t="array" ref="L142">IF($A142="","",IF($J142="No","",GetMatchingValue($XFD$9,"Original","Control Number",L$2,$A142)))</f>
        <v/>
      </c>
      <c r="M142" s="13" t="str">
        <f t="shared" ca="1" si="4"/>
        <v/>
      </c>
      <c r="N142" s="16"/>
      <c r="O142" s="34" t="str" cm="1">
        <f t="array" ref="O142">IF($A142="","",IF($J142="No","",GetMatchingValue($XFD$9,"Original","Control Number",O$2,$A142)))</f>
        <v/>
      </c>
      <c r="P142" s="34" t="str" cm="1">
        <f t="array" ref="P142">IF($A142="","",IF($J142="No","",GetMatchingValue($XFD$9,"Original","Control Number",P$2,$A142)))</f>
        <v/>
      </c>
      <c r="Q142" s="34" t="str" cm="1">
        <f t="array" ref="Q142">IF($A142="","",IF($J142="No","",GetMatchingValue($XFD$9,"Original","Control Number",Q$2,$A142)))</f>
        <v/>
      </c>
      <c r="R142" s="34" t="str" cm="1">
        <f t="array" ref="R142">IF($A142="","",IF($J142="No","",GetMatchingValue($XFD$9,"Original","Control Number",R$2,$A142)))</f>
        <v/>
      </c>
      <c r="S142" s="34" t="str" cm="1">
        <f t="array" ref="S142">IF($A142="","",IF($J142="No","",GetMatchingValue($XFD$9,"Original","Control Number",S$2,$A142)))</f>
        <v/>
      </c>
      <c r="T142" s="34" t="str" cm="1">
        <f t="array" ref="T142">IF($A142="","",IF($J142="No","",GetMatchingValue($XFD$9,"Original","Control Number",T$2,$A142)))</f>
        <v/>
      </c>
      <c r="U142" s="34" t="str" cm="1">
        <f t="array" ref="U142">IF($A142="","",IF($J142="No","",GetMatchingValue($XFD$9,"Original","Control Number",U$2,$A142)))</f>
        <v/>
      </c>
      <c r="V142" s="14"/>
      <c r="W142" s="17"/>
      <c r="X142" s="17"/>
      <c r="Y142" s="17"/>
      <c r="Z142" s="13"/>
      <c r="AA142" s="13"/>
      <c r="AB142" s="13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3"/>
    </row>
    <row r="143" spans="1:45" ht="40.5" customHeight="1" x14ac:dyDescent="0.2">
      <c r="A143" s="13"/>
      <c r="B143" s="14"/>
      <c r="C143" s="15"/>
      <c r="D143" s="15"/>
      <c r="E143" s="13"/>
      <c r="F143" s="34" t="str" cm="1">
        <f t="array" ref="F143">IF($A143="","",GetMatchingValue($XFD$8,"Original","Control Number",F$2,$A143))</f>
        <v/>
      </c>
      <c r="G143" s="34" t="str" cm="1">
        <f t="array" ref="G143">IF($A143="","",GetMatchingValue($XFD$8,"Original","Control Number",G$2,$A143))</f>
        <v/>
      </c>
      <c r="H143" s="34" t="str" cm="1">
        <f t="array" ref="H143">IF($A143="","",GetMatchingValue($XFD$8,"Original","Control Number",H$2,$A143))</f>
        <v/>
      </c>
      <c r="I143" s="13"/>
      <c r="J143" s="13" t="str" cm="1">
        <f t="array" ref="J143">IF($A143="","",CheckControlNumberExists($XFD$9, "Original", $A143))</f>
        <v/>
      </c>
      <c r="K143" s="34" t="str" cm="1">
        <f t="array" ref="K143">IF($A143="","",IF($J143="No","",GetMatchingValue($XFD$9,"Original","Control Number",K$2,$A143)))</f>
        <v/>
      </c>
      <c r="L143" s="34" t="str" cm="1">
        <f t="array" ref="L143">IF($A143="","",IF($J143="No","",GetMatchingValue($XFD$9,"Original","Control Number",L$2,$A143)))</f>
        <v/>
      </c>
      <c r="M143" s="13" t="str">
        <f t="shared" ca="1" si="4"/>
        <v/>
      </c>
      <c r="N143" s="16"/>
      <c r="O143" s="34" t="str" cm="1">
        <f t="array" ref="O143">IF($A143="","",IF($J143="No","",GetMatchingValue($XFD$9,"Original","Control Number",O$2,$A143)))</f>
        <v/>
      </c>
      <c r="P143" s="34" t="str" cm="1">
        <f t="array" ref="P143">IF($A143="","",IF($J143="No","",GetMatchingValue($XFD$9,"Original","Control Number",P$2,$A143)))</f>
        <v/>
      </c>
      <c r="Q143" s="34" t="str" cm="1">
        <f t="array" ref="Q143">IF($A143="","",IF($J143="No","",GetMatchingValue($XFD$9,"Original","Control Number",Q$2,$A143)))</f>
        <v/>
      </c>
      <c r="R143" s="34" t="str" cm="1">
        <f t="array" ref="R143">IF($A143="","",IF($J143="No","",GetMatchingValue($XFD$9,"Original","Control Number",R$2,$A143)))</f>
        <v/>
      </c>
      <c r="S143" s="34" t="str" cm="1">
        <f t="array" ref="S143">IF($A143="","",IF($J143="No","",GetMatchingValue($XFD$9,"Original","Control Number",S$2,$A143)))</f>
        <v/>
      </c>
      <c r="T143" s="34" t="str" cm="1">
        <f t="array" ref="T143">IF($A143="","",IF($J143="No","",GetMatchingValue($XFD$9,"Original","Control Number",T$2,$A143)))</f>
        <v/>
      </c>
      <c r="U143" s="34" t="str" cm="1">
        <f t="array" ref="U143">IF($A143="","",IF($J143="No","",GetMatchingValue($XFD$9,"Original","Control Number",U$2,$A143)))</f>
        <v/>
      </c>
      <c r="V143" s="14"/>
      <c r="W143" s="17"/>
      <c r="X143" s="17"/>
      <c r="Y143" s="17"/>
      <c r="Z143" s="13"/>
      <c r="AA143" s="13"/>
      <c r="AB143" s="13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3"/>
    </row>
    <row r="144" spans="1:45" ht="40.5" customHeight="1" x14ac:dyDescent="0.2">
      <c r="A144" s="13"/>
      <c r="B144" s="14"/>
      <c r="C144" s="15"/>
      <c r="D144" s="15"/>
      <c r="E144" s="13"/>
      <c r="F144" s="34" t="str" cm="1">
        <f t="array" ref="F144">IF($A144="","",GetMatchingValue($XFD$8,"Original","Control Number",F$2,$A144))</f>
        <v/>
      </c>
      <c r="G144" s="34" t="str" cm="1">
        <f t="array" ref="G144">IF($A144="","",GetMatchingValue($XFD$8,"Original","Control Number",G$2,$A144))</f>
        <v/>
      </c>
      <c r="H144" s="34" t="str" cm="1">
        <f t="array" ref="H144">IF($A144="","",GetMatchingValue($XFD$8,"Original","Control Number",H$2,$A144))</f>
        <v/>
      </c>
      <c r="I144" s="13"/>
      <c r="J144" s="13" t="str" cm="1">
        <f t="array" ref="J144">IF($A144="","",CheckControlNumberExists($XFD$9, "Original", $A144))</f>
        <v/>
      </c>
      <c r="K144" s="34" t="str" cm="1">
        <f t="array" ref="K144">IF($A144="","",IF($J144="No","",GetMatchingValue($XFD$9,"Original","Control Number",K$2,$A144)))</f>
        <v/>
      </c>
      <c r="L144" s="34" t="str" cm="1">
        <f t="array" ref="L144">IF($A144="","",IF($J144="No","",GetMatchingValue($XFD$9,"Original","Control Number",L$2,$A144)))</f>
        <v/>
      </c>
      <c r="M144" s="13" t="str">
        <f t="shared" ca="1" si="4"/>
        <v/>
      </c>
      <c r="N144" s="16"/>
      <c r="O144" s="34" t="str" cm="1">
        <f t="array" ref="O144">IF($A144="","",IF($J144="No","",GetMatchingValue($XFD$9,"Original","Control Number",O$2,$A144)))</f>
        <v/>
      </c>
      <c r="P144" s="34" t="str" cm="1">
        <f t="array" ref="P144">IF($A144="","",IF($J144="No","",GetMatchingValue($XFD$9,"Original","Control Number",P$2,$A144)))</f>
        <v/>
      </c>
      <c r="Q144" s="34" t="str" cm="1">
        <f t="array" ref="Q144">IF($A144="","",IF($J144="No","",GetMatchingValue($XFD$9,"Original","Control Number",Q$2,$A144)))</f>
        <v/>
      </c>
      <c r="R144" s="34" t="str" cm="1">
        <f t="array" ref="R144">IF($A144="","",IF($J144="No","",GetMatchingValue($XFD$9,"Original","Control Number",R$2,$A144)))</f>
        <v/>
      </c>
      <c r="S144" s="34" t="str" cm="1">
        <f t="array" ref="S144">IF($A144="","",IF($J144="No","",GetMatchingValue($XFD$9,"Original","Control Number",S$2,$A144)))</f>
        <v/>
      </c>
      <c r="T144" s="34" t="str" cm="1">
        <f t="array" ref="T144">IF($A144="","",IF($J144="No","",GetMatchingValue($XFD$9,"Original","Control Number",T$2,$A144)))</f>
        <v/>
      </c>
      <c r="U144" s="34" t="str" cm="1">
        <f t="array" ref="U144">IF($A144="","",IF($J144="No","",GetMatchingValue($XFD$9,"Original","Control Number",U$2,$A144)))</f>
        <v/>
      </c>
      <c r="V144" s="14"/>
      <c r="W144" s="17"/>
      <c r="X144" s="17"/>
      <c r="Y144" s="17"/>
      <c r="Z144" s="13"/>
      <c r="AA144" s="13"/>
      <c r="AB144" s="13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3"/>
    </row>
    <row r="145" spans="1:45" ht="40.5" customHeight="1" x14ac:dyDescent="0.2">
      <c r="A145" s="13"/>
      <c r="B145" s="14"/>
      <c r="C145" s="15"/>
      <c r="D145" s="15"/>
      <c r="E145" s="13"/>
      <c r="F145" s="34" t="str" cm="1">
        <f t="array" ref="F145">IF($A145="","",GetMatchingValue($XFD$8,"Original","Control Number",F$2,$A145))</f>
        <v/>
      </c>
      <c r="G145" s="34" t="str" cm="1">
        <f t="array" ref="G145">IF($A145="","",GetMatchingValue($XFD$8,"Original","Control Number",G$2,$A145))</f>
        <v/>
      </c>
      <c r="H145" s="34" t="str" cm="1">
        <f t="array" ref="H145">IF($A145="","",GetMatchingValue($XFD$8,"Original","Control Number",H$2,$A145))</f>
        <v/>
      </c>
      <c r="I145" s="13"/>
      <c r="J145" s="13" t="str" cm="1">
        <f t="array" ref="J145">IF($A145="","",CheckControlNumberExists($XFD$9, "Original", $A145))</f>
        <v/>
      </c>
      <c r="K145" s="34" t="str" cm="1">
        <f t="array" ref="K145">IF($A145="","",IF($J145="No","",GetMatchingValue($XFD$9,"Original","Control Number",K$2,$A145)))</f>
        <v/>
      </c>
      <c r="L145" s="34" t="str" cm="1">
        <f t="array" ref="L145">IF($A145="","",IF($J145="No","",GetMatchingValue($XFD$9,"Original","Control Number",L$2,$A145)))</f>
        <v/>
      </c>
      <c r="M145" s="13" t="str">
        <f t="shared" ca="1" si="4"/>
        <v/>
      </c>
      <c r="N145" s="16"/>
      <c r="O145" s="34" t="str" cm="1">
        <f t="array" ref="O145">IF($A145="","",IF($J145="No","",GetMatchingValue($XFD$9,"Original","Control Number",O$2,$A145)))</f>
        <v/>
      </c>
      <c r="P145" s="34" t="str" cm="1">
        <f t="array" ref="P145">IF($A145="","",IF($J145="No","",GetMatchingValue($XFD$9,"Original","Control Number",P$2,$A145)))</f>
        <v/>
      </c>
      <c r="Q145" s="34" t="str" cm="1">
        <f t="array" ref="Q145">IF($A145="","",IF($J145="No","",GetMatchingValue($XFD$9,"Original","Control Number",Q$2,$A145)))</f>
        <v/>
      </c>
      <c r="R145" s="34" t="str" cm="1">
        <f t="array" ref="R145">IF($A145="","",IF($J145="No","",GetMatchingValue($XFD$9,"Original","Control Number",R$2,$A145)))</f>
        <v/>
      </c>
      <c r="S145" s="34" t="str" cm="1">
        <f t="array" ref="S145">IF($A145="","",IF($J145="No","",GetMatchingValue($XFD$9,"Original","Control Number",S$2,$A145)))</f>
        <v/>
      </c>
      <c r="T145" s="34" t="str" cm="1">
        <f t="array" ref="T145">IF($A145="","",IF($J145="No","",GetMatchingValue($XFD$9,"Original","Control Number",T$2,$A145)))</f>
        <v/>
      </c>
      <c r="U145" s="34" t="str" cm="1">
        <f t="array" ref="U145">IF($A145="","",IF($J145="No","",GetMatchingValue($XFD$9,"Original","Control Number",U$2,$A145)))</f>
        <v/>
      </c>
      <c r="V145" s="14"/>
      <c r="W145" s="17"/>
      <c r="X145" s="17"/>
      <c r="Y145" s="17"/>
      <c r="Z145" s="13"/>
      <c r="AA145" s="13"/>
      <c r="AB145" s="13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3"/>
    </row>
    <row r="146" spans="1:45" ht="40.5" customHeight="1" x14ac:dyDescent="0.2">
      <c r="A146" s="13"/>
      <c r="B146" s="14"/>
      <c r="C146" s="15"/>
      <c r="D146" s="15"/>
      <c r="E146" s="13"/>
      <c r="F146" s="34" t="str" cm="1">
        <f t="array" ref="F146">IF($A146="","",GetMatchingValue($XFD$8,"Original","Control Number",F$2,$A146))</f>
        <v/>
      </c>
      <c r="G146" s="34" t="str" cm="1">
        <f t="array" ref="G146">IF($A146="","",GetMatchingValue($XFD$8,"Original","Control Number",G$2,$A146))</f>
        <v/>
      </c>
      <c r="H146" s="34" t="str" cm="1">
        <f t="array" ref="H146">IF($A146="","",GetMatchingValue($XFD$8,"Original","Control Number",H$2,$A146))</f>
        <v/>
      </c>
      <c r="I146" s="13"/>
      <c r="J146" s="13" t="str" cm="1">
        <f t="array" ref="J146">IF($A146="","",CheckControlNumberExists($XFD$9, "Original", $A146))</f>
        <v/>
      </c>
      <c r="K146" s="34" t="str" cm="1">
        <f t="array" ref="K146">IF($A146="","",IF($J146="No","",GetMatchingValue($XFD$9,"Original","Control Number",K$2,$A146)))</f>
        <v/>
      </c>
      <c r="L146" s="34" t="str" cm="1">
        <f t="array" ref="L146">IF($A146="","",IF($J146="No","",GetMatchingValue($XFD$9,"Original","Control Number",L$2,$A146)))</f>
        <v/>
      </c>
      <c r="M146" s="13" t="str">
        <f t="shared" ca="1" si="4"/>
        <v/>
      </c>
      <c r="N146" s="16"/>
      <c r="O146" s="34" t="str" cm="1">
        <f t="array" ref="O146">IF($A146="","",IF($J146="No","",GetMatchingValue($XFD$9,"Original","Control Number",O$2,$A146)))</f>
        <v/>
      </c>
      <c r="P146" s="34" t="str" cm="1">
        <f t="array" ref="P146">IF($A146="","",IF($J146="No","",GetMatchingValue($XFD$9,"Original","Control Number",P$2,$A146)))</f>
        <v/>
      </c>
      <c r="Q146" s="34" t="str" cm="1">
        <f t="array" ref="Q146">IF($A146="","",IF($J146="No","",GetMatchingValue($XFD$9,"Original","Control Number",Q$2,$A146)))</f>
        <v/>
      </c>
      <c r="R146" s="34" t="str" cm="1">
        <f t="array" ref="R146">IF($A146="","",IF($J146="No","",GetMatchingValue($XFD$9,"Original","Control Number",R$2,$A146)))</f>
        <v/>
      </c>
      <c r="S146" s="34" t="str" cm="1">
        <f t="array" ref="S146">IF($A146="","",IF($J146="No","",GetMatchingValue($XFD$9,"Original","Control Number",S$2,$A146)))</f>
        <v/>
      </c>
      <c r="T146" s="34" t="str" cm="1">
        <f t="array" ref="T146">IF($A146="","",IF($J146="No","",GetMatchingValue($XFD$9,"Original","Control Number",T$2,$A146)))</f>
        <v/>
      </c>
      <c r="U146" s="34" t="str" cm="1">
        <f t="array" ref="U146">IF($A146="","",IF($J146="No","",GetMatchingValue($XFD$9,"Original","Control Number",U$2,$A146)))</f>
        <v/>
      </c>
      <c r="V146" s="14"/>
      <c r="W146" s="17"/>
      <c r="X146" s="17"/>
      <c r="Y146" s="17"/>
      <c r="Z146" s="13"/>
      <c r="AA146" s="13"/>
      <c r="AB146" s="13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3"/>
    </row>
    <row r="147" spans="1:45" ht="40.5" customHeight="1" x14ac:dyDescent="0.2">
      <c r="A147" s="13"/>
      <c r="B147" s="14"/>
      <c r="C147" s="15"/>
      <c r="D147" s="15"/>
      <c r="E147" s="13"/>
      <c r="F147" s="34" t="str" cm="1">
        <f t="array" ref="F147">IF($A147="","",GetMatchingValue($XFD$8,"Original","Control Number",F$2,$A147))</f>
        <v/>
      </c>
      <c r="G147" s="34" t="str" cm="1">
        <f t="array" ref="G147">IF($A147="","",GetMatchingValue($XFD$8,"Original","Control Number",G$2,$A147))</f>
        <v/>
      </c>
      <c r="H147" s="34" t="str" cm="1">
        <f t="array" ref="H147">IF($A147="","",GetMatchingValue($XFD$8,"Original","Control Number",H$2,$A147))</f>
        <v/>
      </c>
      <c r="I147" s="13"/>
      <c r="J147" s="13" t="str" cm="1">
        <f t="array" ref="J147">IF($A147="","",CheckControlNumberExists($XFD$9, "Original", $A147))</f>
        <v/>
      </c>
      <c r="K147" s="34" t="str" cm="1">
        <f t="array" ref="K147">IF($A147="","",IF($J147="No","",GetMatchingValue($XFD$9,"Original","Control Number",K$2,$A147)))</f>
        <v/>
      </c>
      <c r="L147" s="34" t="str" cm="1">
        <f t="array" ref="L147">IF($A147="","",IF($J147="No","",GetMatchingValue($XFD$9,"Original","Control Number",L$2,$A147)))</f>
        <v/>
      </c>
      <c r="M147" s="13" t="str">
        <f t="shared" ca="1" si="4"/>
        <v/>
      </c>
      <c r="N147" s="16"/>
      <c r="O147" s="34" t="str" cm="1">
        <f t="array" ref="O147">IF($A147="","",IF($J147="No","",GetMatchingValue($XFD$9,"Original","Control Number",O$2,$A147)))</f>
        <v/>
      </c>
      <c r="P147" s="34" t="str" cm="1">
        <f t="array" ref="P147">IF($A147="","",IF($J147="No","",GetMatchingValue($XFD$9,"Original","Control Number",P$2,$A147)))</f>
        <v/>
      </c>
      <c r="Q147" s="34" t="str" cm="1">
        <f t="array" ref="Q147">IF($A147="","",IF($J147="No","",GetMatchingValue($XFD$9,"Original","Control Number",Q$2,$A147)))</f>
        <v/>
      </c>
      <c r="R147" s="34" t="str" cm="1">
        <f t="array" ref="R147">IF($A147="","",IF($J147="No","",GetMatchingValue($XFD$9,"Original","Control Number",R$2,$A147)))</f>
        <v/>
      </c>
      <c r="S147" s="34" t="str" cm="1">
        <f t="array" ref="S147">IF($A147="","",IF($J147="No","",GetMatchingValue($XFD$9,"Original","Control Number",S$2,$A147)))</f>
        <v/>
      </c>
      <c r="T147" s="34" t="str" cm="1">
        <f t="array" ref="T147">IF($A147="","",IF($J147="No","",GetMatchingValue($XFD$9,"Original","Control Number",T$2,$A147)))</f>
        <v/>
      </c>
      <c r="U147" s="34" t="str" cm="1">
        <f t="array" ref="U147">IF($A147="","",IF($J147="No","",GetMatchingValue($XFD$9,"Original","Control Number",U$2,$A147)))</f>
        <v/>
      </c>
      <c r="V147" s="14"/>
      <c r="W147" s="17"/>
      <c r="X147" s="17"/>
      <c r="Y147" s="17"/>
      <c r="Z147" s="13"/>
      <c r="AA147" s="13"/>
      <c r="AB147" s="13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3"/>
    </row>
    <row r="148" spans="1:45" ht="40.5" customHeight="1" x14ac:dyDescent="0.2">
      <c r="A148" s="18"/>
      <c r="B148" s="14"/>
      <c r="C148" s="15"/>
      <c r="D148" s="15"/>
      <c r="E148" s="13"/>
      <c r="F148" s="34" t="str" cm="1">
        <f t="array" ref="F148">IF($A148="","",GetMatchingValue($XFD$8,"Original","Control Number",F$2,$A148))</f>
        <v/>
      </c>
      <c r="G148" s="34" t="str" cm="1">
        <f t="array" ref="G148">IF($A148="","",GetMatchingValue($XFD$8,"Original","Control Number",G$2,$A148))</f>
        <v/>
      </c>
      <c r="H148" s="34" t="str" cm="1">
        <f t="array" ref="H148">IF($A148="","",GetMatchingValue($XFD$8,"Original","Control Number",H$2,$A148))</f>
        <v/>
      </c>
      <c r="I148" s="13"/>
      <c r="J148" s="13" t="str" cm="1">
        <f t="array" ref="J148">IF($A148="","",CheckControlNumberExists($XFD$9, "Original", $A148))</f>
        <v/>
      </c>
      <c r="K148" s="34" t="str" cm="1">
        <f t="array" ref="K148">IF($A148="","",IF($J148="No","",GetMatchingValue($XFD$9,"Original","Control Number",K$2,$A148)))</f>
        <v/>
      </c>
      <c r="L148" s="34" t="str" cm="1">
        <f t="array" ref="L148">IF($A148="","",IF($J148="No","",GetMatchingValue($XFD$9,"Original","Control Number",L$2,$A148)))</f>
        <v/>
      </c>
      <c r="M148" s="13" t="str">
        <f t="shared" ca="1" si="4"/>
        <v/>
      </c>
      <c r="N148" s="16"/>
      <c r="O148" s="34" t="str" cm="1">
        <f t="array" ref="O148">IF($A148="","",IF($J148="No","",GetMatchingValue($XFD$9,"Original","Control Number",O$2,$A148)))</f>
        <v/>
      </c>
      <c r="P148" s="34" t="str" cm="1">
        <f t="array" ref="P148">IF($A148="","",IF($J148="No","",GetMatchingValue($XFD$9,"Original","Control Number",P$2,$A148)))</f>
        <v/>
      </c>
      <c r="Q148" s="34" t="str" cm="1">
        <f t="array" ref="Q148">IF($A148="","",IF($J148="No","",GetMatchingValue($XFD$9,"Original","Control Number",Q$2,$A148)))</f>
        <v/>
      </c>
      <c r="R148" s="34" t="str" cm="1">
        <f t="array" ref="R148">IF($A148="","",IF($J148="No","",GetMatchingValue($XFD$9,"Original","Control Number",R$2,$A148)))</f>
        <v/>
      </c>
      <c r="S148" s="34" t="str" cm="1">
        <f t="array" ref="S148">IF($A148="","",IF($J148="No","",GetMatchingValue($XFD$9,"Original","Control Number",S$2,$A148)))</f>
        <v/>
      </c>
      <c r="T148" s="34" t="str" cm="1">
        <f t="array" ref="T148">IF($A148="","",IF($J148="No","",GetMatchingValue($XFD$9,"Original","Control Number",T$2,$A148)))</f>
        <v/>
      </c>
      <c r="U148" s="34" t="str" cm="1">
        <f t="array" ref="U148">IF($A148="","",IF($J148="No","",GetMatchingValue($XFD$9,"Original","Control Number",U$2,$A148)))</f>
        <v/>
      </c>
      <c r="V148" s="14"/>
      <c r="W148" s="17"/>
      <c r="X148" s="17"/>
      <c r="Y148" s="17"/>
      <c r="Z148" s="13"/>
      <c r="AA148" s="13"/>
      <c r="AB148" s="13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3"/>
    </row>
    <row r="149" spans="1:45" ht="40.5" customHeight="1" x14ac:dyDescent="0.2">
      <c r="A149" s="19"/>
      <c r="B149" s="14"/>
      <c r="C149" s="15"/>
      <c r="D149" s="15"/>
      <c r="E149" s="13"/>
      <c r="F149" s="34" t="str" cm="1">
        <f t="array" ref="F149">IF($A149="","",GetMatchingValue($XFD$8,"Original","Control Number",F$2,$A149))</f>
        <v/>
      </c>
      <c r="G149" s="34" t="str" cm="1">
        <f t="array" ref="G149">IF($A149="","",GetMatchingValue($XFD$8,"Original","Control Number",G$2,$A149))</f>
        <v/>
      </c>
      <c r="H149" s="34" t="str" cm="1">
        <f t="array" ref="H149">IF($A149="","",GetMatchingValue($XFD$8,"Original","Control Number",H$2,$A149))</f>
        <v/>
      </c>
      <c r="I149" s="13"/>
      <c r="J149" s="13" t="str" cm="1">
        <f t="array" ref="J149">IF($A149="","",CheckControlNumberExists($XFD$9, "Original", $A149))</f>
        <v/>
      </c>
      <c r="K149" s="34" t="str" cm="1">
        <f t="array" ref="K149">IF($A149="","",IF($J149="No","",GetMatchingValue($XFD$9,"Original","Control Number",K$2,$A149)))</f>
        <v/>
      </c>
      <c r="L149" s="34" t="str" cm="1">
        <f t="array" ref="L149">IF($A149="","",IF($J149="No","",GetMatchingValue($XFD$9,"Original","Control Number",L$2,$A149)))</f>
        <v/>
      </c>
      <c r="M149" s="13" t="str">
        <f t="shared" ca="1" si="4"/>
        <v/>
      </c>
      <c r="N149" s="16"/>
      <c r="O149" s="34" t="str" cm="1">
        <f t="array" ref="O149">IF($A149="","",IF($J149="No","",GetMatchingValue($XFD$9,"Original","Control Number",O$2,$A149)))</f>
        <v/>
      </c>
      <c r="P149" s="34" t="str" cm="1">
        <f t="array" ref="P149">IF($A149="","",IF($J149="No","",GetMatchingValue($XFD$9,"Original","Control Number",P$2,$A149)))</f>
        <v/>
      </c>
      <c r="Q149" s="34" t="str" cm="1">
        <f t="array" ref="Q149">IF($A149="","",IF($J149="No","",GetMatchingValue($XFD$9,"Original","Control Number",Q$2,$A149)))</f>
        <v/>
      </c>
      <c r="R149" s="34" t="str" cm="1">
        <f t="array" ref="R149">IF($A149="","",IF($J149="No","",GetMatchingValue($XFD$9,"Original","Control Number",R$2,$A149)))</f>
        <v/>
      </c>
      <c r="S149" s="34" t="str" cm="1">
        <f t="array" ref="S149">IF($A149="","",IF($J149="No","",GetMatchingValue($XFD$9,"Original","Control Number",S$2,$A149)))</f>
        <v/>
      </c>
      <c r="T149" s="34" t="str" cm="1">
        <f t="array" ref="T149">IF($A149="","",IF($J149="No","",GetMatchingValue($XFD$9,"Original","Control Number",T$2,$A149)))</f>
        <v/>
      </c>
      <c r="U149" s="34" t="str" cm="1">
        <f t="array" ref="U149">IF($A149="","",IF($J149="No","",GetMatchingValue($XFD$9,"Original","Control Number",U$2,$A149)))</f>
        <v/>
      </c>
      <c r="V149" s="14"/>
      <c r="W149" s="17"/>
      <c r="X149" s="17"/>
      <c r="Y149" s="17"/>
      <c r="Z149" s="13"/>
      <c r="AA149" s="13"/>
      <c r="AB149" s="13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3"/>
    </row>
    <row r="150" spans="1:45" ht="40.5" customHeight="1" x14ac:dyDescent="0.2">
      <c r="A150" s="13"/>
      <c r="B150" s="14"/>
      <c r="C150" s="15"/>
      <c r="D150" s="15"/>
      <c r="E150" s="13"/>
      <c r="F150" s="34" t="str" cm="1">
        <f t="array" ref="F150">IF($A150="","",GetMatchingValue($XFD$8,"Original","Control Number",F$2,$A150))</f>
        <v/>
      </c>
      <c r="G150" s="34" t="str" cm="1">
        <f t="array" ref="G150">IF($A150="","",GetMatchingValue($XFD$8,"Original","Control Number",G$2,$A150))</f>
        <v/>
      </c>
      <c r="H150" s="34" t="str" cm="1">
        <f t="array" ref="H150">IF($A150="","",GetMatchingValue($XFD$8,"Original","Control Number",H$2,$A150))</f>
        <v/>
      </c>
      <c r="I150" s="13"/>
      <c r="J150" s="13" t="str" cm="1">
        <f t="array" ref="J150">IF($A150="","",CheckControlNumberExists($XFD$9, "Original", $A150))</f>
        <v/>
      </c>
      <c r="K150" s="34" t="str" cm="1">
        <f t="array" ref="K150">IF($A150="","",IF($J150="No","",GetMatchingValue($XFD$9,"Original","Control Number",K$2,$A150)))</f>
        <v/>
      </c>
      <c r="L150" s="34" t="str" cm="1">
        <f t="array" ref="L150">IF($A150="","",IF($J150="No","",GetMatchingValue($XFD$9,"Original","Control Number",L$2,$A150)))</f>
        <v/>
      </c>
      <c r="M150" s="13" t="str">
        <f t="shared" ca="1" si="4"/>
        <v/>
      </c>
      <c r="N150" s="16"/>
      <c r="O150" s="34" t="str" cm="1">
        <f t="array" ref="O150">IF($A150="","",IF($J150="No","",GetMatchingValue($XFD$9,"Original","Control Number",O$2,$A150)))</f>
        <v/>
      </c>
      <c r="P150" s="34" t="str" cm="1">
        <f t="array" ref="P150">IF($A150="","",IF($J150="No","",GetMatchingValue($XFD$9,"Original","Control Number",P$2,$A150)))</f>
        <v/>
      </c>
      <c r="Q150" s="34" t="str" cm="1">
        <f t="array" ref="Q150">IF($A150="","",IF($J150="No","",GetMatchingValue($XFD$9,"Original","Control Number",Q$2,$A150)))</f>
        <v/>
      </c>
      <c r="R150" s="34" t="str" cm="1">
        <f t="array" ref="R150">IF($A150="","",IF($J150="No","",GetMatchingValue($XFD$9,"Original","Control Number",R$2,$A150)))</f>
        <v/>
      </c>
      <c r="S150" s="34" t="str" cm="1">
        <f t="array" ref="S150">IF($A150="","",IF($J150="No","",GetMatchingValue($XFD$9,"Original","Control Number",S$2,$A150)))</f>
        <v/>
      </c>
      <c r="T150" s="34" t="str" cm="1">
        <f t="array" ref="T150">IF($A150="","",IF($J150="No","",GetMatchingValue($XFD$9,"Original","Control Number",T$2,$A150)))</f>
        <v/>
      </c>
      <c r="U150" s="34" t="str" cm="1">
        <f t="array" ref="U150">IF($A150="","",IF($J150="No","",GetMatchingValue($XFD$9,"Original","Control Number",U$2,$A150)))</f>
        <v/>
      </c>
      <c r="V150" s="14"/>
      <c r="W150" s="17"/>
      <c r="X150" s="17"/>
      <c r="Y150" s="17"/>
      <c r="Z150" s="13"/>
      <c r="AA150" s="13"/>
      <c r="AB150" s="13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3"/>
    </row>
    <row r="151" spans="1:45" ht="40.5" customHeight="1" x14ac:dyDescent="0.2">
      <c r="A151" s="13"/>
      <c r="B151" s="14"/>
      <c r="C151" s="15"/>
      <c r="D151" s="15"/>
      <c r="E151" s="13"/>
      <c r="F151" s="34" t="str" cm="1">
        <f t="array" ref="F151">IF($A151="","",GetMatchingValue($XFD$8,"Original","Control Number",F$2,$A151))</f>
        <v/>
      </c>
      <c r="G151" s="34" t="str" cm="1">
        <f t="array" ref="G151">IF($A151="","",GetMatchingValue($XFD$8,"Original","Control Number",G$2,$A151))</f>
        <v/>
      </c>
      <c r="H151" s="34" t="str" cm="1">
        <f t="array" ref="H151">IF($A151="","",GetMatchingValue($XFD$8,"Original","Control Number",H$2,$A151))</f>
        <v/>
      </c>
      <c r="I151" s="13"/>
      <c r="J151" s="13" t="str" cm="1">
        <f t="array" ref="J151">IF($A151="","",CheckControlNumberExists($XFD$9, "Original", $A151))</f>
        <v/>
      </c>
      <c r="K151" s="34" t="str" cm="1">
        <f t="array" ref="K151">IF($A151="","",IF($J151="No","",GetMatchingValue($XFD$9,"Original","Control Number",K$2,$A151)))</f>
        <v/>
      </c>
      <c r="L151" s="34" t="str" cm="1">
        <f t="array" ref="L151">IF($A151="","",IF($J151="No","",GetMatchingValue($XFD$9,"Original","Control Number",L$2,$A151)))</f>
        <v/>
      </c>
      <c r="M151" s="13" t="str">
        <f t="shared" ca="1" si="4"/>
        <v/>
      </c>
      <c r="N151" s="16"/>
      <c r="O151" s="34" t="str" cm="1">
        <f t="array" ref="O151">IF($A151="","",IF($J151="No","",GetMatchingValue($XFD$9,"Original","Control Number",O$2,$A151)))</f>
        <v/>
      </c>
      <c r="P151" s="34" t="str" cm="1">
        <f t="array" ref="P151">IF($A151="","",IF($J151="No","",GetMatchingValue($XFD$9,"Original","Control Number",P$2,$A151)))</f>
        <v/>
      </c>
      <c r="Q151" s="34" t="str" cm="1">
        <f t="array" ref="Q151">IF($A151="","",IF($J151="No","",GetMatchingValue($XFD$9,"Original","Control Number",Q$2,$A151)))</f>
        <v/>
      </c>
      <c r="R151" s="34" t="str" cm="1">
        <f t="array" ref="R151">IF($A151="","",IF($J151="No","",GetMatchingValue($XFD$9,"Original","Control Number",R$2,$A151)))</f>
        <v/>
      </c>
      <c r="S151" s="34" t="str" cm="1">
        <f t="array" ref="S151">IF($A151="","",IF($J151="No","",GetMatchingValue($XFD$9,"Original","Control Number",S$2,$A151)))</f>
        <v/>
      </c>
      <c r="T151" s="34" t="str" cm="1">
        <f t="array" ref="T151">IF($A151="","",IF($J151="No","",GetMatchingValue($XFD$9,"Original","Control Number",T$2,$A151)))</f>
        <v/>
      </c>
      <c r="U151" s="34" t="str" cm="1">
        <f t="array" ref="U151">IF($A151="","",IF($J151="No","",GetMatchingValue($XFD$9,"Original","Control Number",U$2,$A151)))</f>
        <v/>
      </c>
      <c r="V151" s="14"/>
      <c r="W151" s="17"/>
      <c r="X151" s="17"/>
      <c r="Y151" s="17"/>
      <c r="Z151" s="13"/>
      <c r="AA151" s="13"/>
      <c r="AB151" s="13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3"/>
    </row>
    <row r="152" spans="1:45" ht="40.5" customHeight="1" x14ac:dyDescent="0.2">
      <c r="A152" s="13"/>
      <c r="B152" s="14"/>
      <c r="C152" s="15"/>
      <c r="D152" s="15"/>
      <c r="E152" s="13"/>
      <c r="F152" s="34" t="str" cm="1">
        <f t="array" ref="F152">IF($A152="","",GetMatchingValue($XFD$8,"Original","Control Number",F$2,$A152))</f>
        <v/>
      </c>
      <c r="G152" s="34" t="str" cm="1">
        <f t="array" ref="G152">IF($A152="","",GetMatchingValue($XFD$8,"Original","Control Number",G$2,$A152))</f>
        <v/>
      </c>
      <c r="H152" s="34" t="str" cm="1">
        <f t="array" ref="H152">IF($A152="","",GetMatchingValue($XFD$8,"Original","Control Number",H$2,$A152))</f>
        <v/>
      </c>
      <c r="I152" s="13"/>
      <c r="J152" s="13" t="str" cm="1">
        <f t="array" ref="J152">IF($A152="","",CheckControlNumberExists($XFD$9, "Original", $A152))</f>
        <v/>
      </c>
      <c r="K152" s="34" t="str" cm="1">
        <f t="array" ref="K152">IF($A152="","",IF($J152="No","",GetMatchingValue($XFD$9,"Original","Control Number",K$2,$A152)))</f>
        <v/>
      </c>
      <c r="L152" s="34" t="str" cm="1">
        <f t="array" ref="L152">IF($A152="","",IF($J152="No","",GetMatchingValue($XFD$9,"Original","Control Number",L$2,$A152)))</f>
        <v/>
      </c>
      <c r="M152" s="13" t="str">
        <f t="shared" ca="1" si="4"/>
        <v/>
      </c>
      <c r="N152" s="16"/>
      <c r="O152" s="34" t="str" cm="1">
        <f t="array" ref="O152">IF($A152="","",IF($J152="No","",GetMatchingValue($XFD$9,"Original","Control Number",O$2,$A152)))</f>
        <v/>
      </c>
      <c r="P152" s="34" t="str" cm="1">
        <f t="array" ref="P152">IF($A152="","",IF($J152="No","",GetMatchingValue($XFD$9,"Original","Control Number",P$2,$A152)))</f>
        <v/>
      </c>
      <c r="Q152" s="34" t="str" cm="1">
        <f t="array" ref="Q152">IF($A152="","",IF($J152="No","",GetMatchingValue($XFD$9,"Original","Control Number",Q$2,$A152)))</f>
        <v/>
      </c>
      <c r="R152" s="34" t="str" cm="1">
        <f t="array" ref="R152">IF($A152="","",IF($J152="No","",GetMatchingValue($XFD$9,"Original","Control Number",R$2,$A152)))</f>
        <v/>
      </c>
      <c r="S152" s="34" t="str" cm="1">
        <f t="array" ref="S152">IF($A152="","",IF($J152="No","",GetMatchingValue($XFD$9,"Original","Control Number",S$2,$A152)))</f>
        <v/>
      </c>
      <c r="T152" s="34" t="str" cm="1">
        <f t="array" ref="T152">IF($A152="","",IF($J152="No","",GetMatchingValue($XFD$9,"Original","Control Number",T$2,$A152)))</f>
        <v/>
      </c>
      <c r="U152" s="34" t="str" cm="1">
        <f t="array" ref="U152">IF($A152="","",IF($J152="No","",GetMatchingValue($XFD$9,"Original","Control Number",U$2,$A152)))</f>
        <v/>
      </c>
      <c r="V152" s="14"/>
      <c r="W152" s="17"/>
      <c r="X152" s="17"/>
      <c r="Y152" s="17"/>
      <c r="Z152" s="13"/>
      <c r="AA152" s="13"/>
      <c r="AB152" s="13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3"/>
    </row>
    <row r="153" spans="1:45" ht="40.5" customHeight="1" x14ac:dyDescent="0.2">
      <c r="A153" s="13"/>
      <c r="B153" s="14"/>
      <c r="C153" s="15"/>
      <c r="D153" s="15"/>
      <c r="E153" s="13"/>
      <c r="F153" s="34" t="str" cm="1">
        <f t="array" ref="F153">IF($A153="","",GetMatchingValue($XFD$8,"Original","Control Number",F$2,$A153))</f>
        <v/>
      </c>
      <c r="G153" s="34" t="str" cm="1">
        <f t="array" ref="G153">IF($A153="","",GetMatchingValue($XFD$8,"Original","Control Number",G$2,$A153))</f>
        <v/>
      </c>
      <c r="H153" s="34" t="str" cm="1">
        <f t="array" ref="H153">IF($A153="","",GetMatchingValue($XFD$8,"Original","Control Number",H$2,$A153))</f>
        <v/>
      </c>
      <c r="I153" s="13"/>
      <c r="J153" s="13" t="str" cm="1">
        <f t="array" ref="J153">IF($A153="","",CheckControlNumberExists($XFD$9, "Original", $A153))</f>
        <v/>
      </c>
      <c r="K153" s="34" t="str" cm="1">
        <f t="array" ref="K153">IF($A153="","",IF($J153="No","",GetMatchingValue($XFD$9,"Original","Control Number",K$2,$A153)))</f>
        <v/>
      </c>
      <c r="L153" s="34" t="str" cm="1">
        <f t="array" ref="L153">IF($A153="","",IF($J153="No","",GetMatchingValue($XFD$9,"Original","Control Number",L$2,$A153)))</f>
        <v/>
      </c>
      <c r="M153" s="13" t="str">
        <f t="shared" ca="1" si="4"/>
        <v/>
      </c>
      <c r="N153" s="16"/>
      <c r="O153" s="34" t="str" cm="1">
        <f t="array" ref="O153">IF($A153="","",IF($J153="No","",GetMatchingValue($XFD$9,"Original","Control Number",O$2,$A153)))</f>
        <v/>
      </c>
      <c r="P153" s="34" t="str" cm="1">
        <f t="array" ref="P153">IF($A153="","",IF($J153="No","",GetMatchingValue($XFD$9,"Original","Control Number",P$2,$A153)))</f>
        <v/>
      </c>
      <c r="Q153" s="34" t="str" cm="1">
        <f t="array" ref="Q153">IF($A153="","",IF($J153="No","",GetMatchingValue($XFD$9,"Original","Control Number",Q$2,$A153)))</f>
        <v/>
      </c>
      <c r="R153" s="34" t="str" cm="1">
        <f t="array" ref="R153">IF($A153="","",IF($J153="No","",GetMatchingValue($XFD$9,"Original","Control Number",R$2,$A153)))</f>
        <v/>
      </c>
      <c r="S153" s="34" t="str" cm="1">
        <f t="array" ref="S153">IF($A153="","",IF($J153="No","",GetMatchingValue($XFD$9,"Original","Control Number",S$2,$A153)))</f>
        <v/>
      </c>
      <c r="T153" s="34" t="str" cm="1">
        <f t="array" ref="T153">IF($A153="","",IF($J153="No","",GetMatchingValue($XFD$9,"Original","Control Number",T$2,$A153)))</f>
        <v/>
      </c>
      <c r="U153" s="34" t="str" cm="1">
        <f t="array" ref="U153">IF($A153="","",IF($J153="No","",GetMatchingValue($XFD$9,"Original","Control Number",U$2,$A153)))</f>
        <v/>
      </c>
      <c r="V153" s="14"/>
      <c r="W153" s="17"/>
      <c r="X153" s="17"/>
      <c r="Y153" s="17"/>
      <c r="Z153" s="13"/>
      <c r="AA153" s="13"/>
      <c r="AB153" s="13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3"/>
    </row>
    <row r="154" spans="1:45" ht="40.5" customHeight="1" x14ac:dyDescent="0.2">
      <c r="A154" s="13"/>
      <c r="B154" s="14"/>
      <c r="C154" s="15"/>
      <c r="D154" s="15"/>
      <c r="E154" s="13"/>
      <c r="F154" s="34" t="str" cm="1">
        <f t="array" ref="F154">IF($A154="","",GetMatchingValue($XFD$8,"Original","Control Number",F$2,$A154))</f>
        <v/>
      </c>
      <c r="G154" s="34" t="str" cm="1">
        <f t="array" ref="G154">IF($A154="","",GetMatchingValue($XFD$8,"Original","Control Number",G$2,$A154))</f>
        <v/>
      </c>
      <c r="H154" s="34" t="str" cm="1">
        <f t="array" ref="H154">IF($A154="","",GetMatchingValue($XFD$8,"Original","Control Number",H$2,$A154))</f>
        <v/>
      </c>
      <c r="I154" s="13"/>
      <c r="J154" s="13" t="str" cm="1">
        <f t="array" ref="J154">IF($A154="","",CheckControlNumberExists($XFD$9, "Original", $A154))</f>
        <v/>
      </c>
      <c r="K154" s="34" t="str" cm="1">
        <f t="array" ref="K154">IF($A154="","",IF($J154="No","",GetMatchingValue($XFD$9,"Original","Control Number",K$2,$A154)))</f>
        <v/>
      </c>
      <c r="L154" s="34" t="str" cm="1">
        <f t="array" ref="L154">IF($A154="","",IF($J154="No","",GetMatchingValue($XFD$9,"Original","Control Number",L$2,$A154)))</f>
        <v/>
      </c>
      <c r="M154" s="13" t="str">
        <f t="shared" ca="1" si="4"/>
        <v/>
      </c>
      <c r="N154" s="16"/>
      <c r="O154" s="34" t="str" cm="1">
        <f t="array" ref="O154">IF($A154="","",IF($J154="No","",GetMatchingValue($XFD$9,"Original","Control Number",O$2,$A154)))</f>
        <v/>
      </c>
      <c r="P154" s="34" t="str" cm="1">
        <f t="array" ref="P154">IF($A154="","",IF($J154="No","",GetMatchingValue($XFD$9,"Original","Control Number",P$2,$A154)))</f>
        <v/>
      </c>
      <c r="Q154" s="34" t="str" cm="1">
        <f t="array" ref="Q154">IF($A154="","",IF($J154="No","",GetMatchingValue($XFD$9,"Original","Control Number",Q$2,$A154)))</f>
        <v/>
      </c>
      <c r="R154" s="34" t="str" cm="1">
        <f t="array" ref="R154">IF($A154="","",IF($J154="No","",GetMatchingValue($XFD$9,"Original","Control Number",R$2,$A154)))</f>
        <v/>
      </c>
      <c r="S154" s="34" t="str" cm="1">
        <f t="array" ref="S154">IF($A154="","",IF($J154="No","",GetMatchingValue($XFD$9,"Original","Control Number",S$2,$A154)))</f>
        <v/>
      </c>
      <c r="T154" s="34" t="str" cm="1">
        <f t="array" ref="T154">IF($A154="","",IF($J154="No","",GetMatchingValue($XFD$9,"Original","Control Number",T$2,$A154)))</f>
        <v/>
      </c>
      <c r="U154" s="34" t="str" cm="1">
        <f t="array" ref="U154">IF($A154="","",IF($J154="No","",GetMatchingValue($XFD$9,"Original","Control Number",U$2,$A154)))</f>
        <v/>
      </c>
      <c r="V154" s="14"/>
      <c r="W154" s="17"/>
      <c r="X154" s="17"/>
      <c r="Y154" s="17"/>
      <c r="Z154" s="13"/>
      <c r="AA154" s="13"/>
      <c r="AB154" s="13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3"/>
    </row>
    <row r="155" spans="1:45" ht="40.5" customHeight="1" x14ac:dyDescent="0.2">
      <c r="A155" s="18"/>
      <c r="B155" s="14"/>
      <c r="C155" s="15"/>
      <c r="D155" s="15"/>
      <c r="E155" s="13"/>
      <c r="F155" s="34" t="str" cm="1">
        <f t="array" ref="F155">IF($A155="","",GetMatchingValue($XFD$8,"Original","Control Number",F$2,$A155))</f>
        <v/>
      </c>
      <c r="G155" s="34" t="str" cm="1">
        <f t="array" ref="G155">IF($A155="","",GetMatchingValue($XFD$8,"Original","Control Number",G$2,$A155))</f>
        <v/>
      </c>
      <c r="H155" s="34" t="str" cm="1">
        <f t="array" ref="H155">IF($A155="","",GetMatchingValue($XFD$8,"Original","Control Number",H$2,$A155))</f>
        <v/>
      </c>
      <c r="I155" s="13"/>
      <c r="J155" s="13" t="str" cm="1">
        <f t="array" ref="J155">IF($A155="","",CheckControlNumberExists($XFD$9, "Original", $A155))</f>
        <v/>
      </c>
      <c r="K155" s="34" t="str" cm="1">
        <f t="array" ref="K155">IF($A155="","",IF($J155="No","",GetMatchingValue($XFD$9,"Original","Control Number",K$2,$A155)))</f>
        <v/>
      </c>
      <c r="L155" s="34" t="str" cm="1">
        <f t="array" ref="L155">IF($A155="","",IF($J155="No","",GetMatchingValue($XFD$9,"Original","Control Number",L$2,$A155)))</f>
        <v/>
      </c>
      <c r="M155" s="13" t="str">
        <f t="shared" ca="1" si="4"/>
        <v/>
      </c>
      <c r="N155" s="16"/>
      <c r="O155" s="34" t="str" cm="1">
        <f t="array" ref="O155">IF($A155="","",IF($J155="No","",GetMatchingValue($XFD$9,"Original","Control Number",O$2,$A155)))</f>
        <v/>
      </c>
      <c r="P155" s="34" t="str" cm="1">
        <f t="array" ref="P155">IF($A155="","",IF($J155="No","",GetMatchingValue($XFD$9,"Original","Control Number",P$2,$A155)))</f>
        <v/>
      </c>
      <c r="Q155" s="34" t="str" cm="1">
        <f t="array" ref="Q155">IF($A155="","",IF($J155="No","",GetMatchingValue($XFD$9,"Original","Control Number",Q$2,$A155)))</f>
        <v/>
      </c>
      <c r="R155" s="34" t="str" cm="1">
        <f t="array" ref="R155">IF($A155="","",IF($J155="No","",GetMatchingValue($XFD$9,"Original","Control Number",R$2,$A155)))</f>
        <v/>
      </c>
      <c r="S155" s="34" t="str" cm="1">
        <f t="array" ref="S155">IF($A155="","",IF($J155="No","",GetMatchingValue($XFD$9,"Original","Control Number",S$2,$A155)))</f>
        <v/>
      </c>
      <c r="T155" s="34" t="str" cm="1">
        <f t="array" ref="T155">IF($A155="","",IF($J155="No","",GetMatchingValue($XFD$9,"Original","Control Number",T$2,$A155)))</f>
        <v/>
      </c>
      <c r="U155" s="34" t="str" cm="1">
        <f t="array" ref="U155">IF($A155="","",IF($J155="No","",GetMatchingValue($XFD$9,"Original","Control Number",U$2,$A155)))</f>
        <v/>
      </c>
      <c r="V155" s="14"/>
      <c r="W155" s="17"/>
      <c r="X155" s="17"/>
      <c r="Y155" s="17"/>
      <c r="Z155" s="13"/>
      <c r="AA155" s="13"/>
      <c r="AB155" s="13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3"/>
    </row>
    <row r="156" spans="1:45" ht="40.5" customHeight="1" x14ac:dyDescent="0.2">
      <c r="A156" s="13"/>
      <c r="B156" s="14"/>
      <c r="C156" s="15"/>
      <c r="D156" s="15"/>
      <c r="E156" s="13"/>
      <c r="F156" s="34" t="str" cm="1">
        <f t="array" ref="F156">IF($A156="","",GetMatchingValue($XFD$8,"Original","Control Number",F$2,$A156))</f>
        <v/>
      </c>
      <c r="G156" s="34" t="str" cm="1">
        <f t="array" ref="G156">IF($A156="","",GetMatchingValue($XFD$8,"Original","Control Number",G$2,$A156))</f>
        <v/>
      </c>
      <c r="H156" s="34" t="str" cm="1">
        <f t="array" ref="H156">IF($A156="","",GetMatchingValue($XFD$8,"Original","Control Number",H$2,$A156))</f>
        <v/>
      </c>
      <c r="I156" s="13"/>
      <c r="J156" s="13" t="str" cm="1">
        <f t="array" ref="J156">IF($A156="","",CheckControlNumberExists($XFD$9, "Original", $A156))</f>
        <v/>
      </c>
      <c r="K156" s="34" t="str" cm="1">
        <f t="array" ref="K156">IF($A156="","",IF($J156="No","",GetMatchingValue($XFD$9,"Original","Control Number",K$2,$A156)))</f>
        <v/>
      </c>
      <c r="L156" s="34" t="str" cm="1">
        <f t="array" ref="L156">IF($A156="","",IF($J156="No","",GetMatchingValue($XFD$9,"Original","Control Number",L$2,$A156)))</f>
        <v/>
      </c>
      <c r="M156" s="13" t="str">
        <f t="shared" ca="1" si="4"/>
        <v/>
      </c>
      <c r="N156" s="16"/>
      <c r="O156" s="34" t="str" cm="1">
        <f t="array" ref="O156">IF($A156="","",IF($J156="No","",GetMatchingValue($XFD$9,"Original","Control Number",O$2,$A156)))</f>
        <v/>
      </c>
      <c r="P156" s="34" t="str" cm="1">
        <f t="array" ref="P156">IF($A156="","",IF($J156="No","",GetMatchingValue($XFD$9,"Original","Control Number",P$2,$A156)))</f>
        <v/>
      </c>
      <c r="Q156" s="34" t="str" cm="1">
        <f t="array" ref="Q156">IF($A156="","",IF($J156="No","",GetMatchingValue($XFD$9,"Original","Control Number",Q$2,$A156)))</f>
        <v/>
      </c>
      <c r="R156" s="34" t="str" cm="1">
        <f t="array" ref="R156">IF($A156="","",IF($J156="No","",GetMatchingValue($XFD$9,"Original","Control Number",R$2,$A156)))</f>
        <v/>
      </c>
      <c r="S156" s="34" t="str" cm="1">
        <f t="array" ref="S156">IF($A156="","",IF($J156="No","",GetMatchingValue($XFD$9,"Original","Control Number",S$2,$A156)))</f>
        <v/>
      </c>
      <c r="T156" s="34" t="str" cm="1">
        <f t="array" ref="T156">IF($A156="","",IF($J156="No","",GetMatchingValue($XFD$9,"Original","Control Number",T$2,$A156)))</f>
        <v/>
      </c>
      <c r="U156" s="34" t="str" cm="1">
        <f t="array" ref="U156">IF($A156="","",IF($J156="No","",GetMatchingValue($XFD$9,"Original","Control Number",U$2,$A156)))</f>
        <v/>
      </c>
      <c r="V156" s="14"/>
      <c r="W156" s="17"/>
      <c r="X156" s="17"/>
      <c r="Y156" s="17"/>
      <c r="Z156" s="13"/>
      <c r="AA156" s="13"/>
      <c r="AB156" s="13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3"/>
    </row>
    <row r="157" spans="1:45" ht="40.5" customHeight="1" x14ac:dyDescent="0.2">
      <c r="A157" s="13"/>
      <c r="B157" s="14"/>
      <c r="C157" s="15"/>
      <c r="D157" s="15"/>
      <c r="E157" s="13"/>
      <c r="F157" s="34" t="str" cm="1">
        <f t="array" ref="F157">IF($A157="","",GetMatchingValue($XFD$8,"Original","Control Number",F$2,$A157))</f>
        <v/>
      </c>
      <c r="G157" s="34" t="str" cm="1">
        <f t="array" ref="G157">IF($A157="","",GetMatchingValue($XFD$8,"Original","Control Number",G$2,$A157))</f>
        <v/>
      </c>
      <c r="H157" s="34" t="str" cm="1">
        <f t="array" ref="H157">IF($A157="","",GetMatchingValue($XFD$8,"Original","Control Number",H$2,$A157))</f>
        <v/>
      </c>
      <c r="I157" s="13"/>
      <c r="J157" s="13" t="str" cm="1">
        <f t="array" ref="J157">IF($A157="","",CheckControlNumberExists($XFD$9, "Original", $A157))</f>
        <v/>
      </c>
      <c r="K157" s="34" t="str" cm="1">
        <f t="array" ref="K157">IF($A157="","",IF($J157="No","",GetMatchingValue($XFD$9,"Original","Control Number",K$2,$A157)))</f>
        <v/>
      </c>
      <c r="L157" s="34" t="str" cm="1">
        <f t="array" ref="L157">IF($A157="","",IF($J157="No","",GetMatchingValue($XFD$9,"Original","Control Number",L$2,$A157)))</f>
        <v/>
      </c>
      <c r="M157" s="13" t="str">
        <f t="shared" ca="1" si="4"/>
        <v/>
      </c>
      <c r="N157" s="16"/>
      <c r="O157" s="34" t="str" cm="1">
        <f t="array" ref="O157">IF($A157="","",IF($J157="No","",GetMatchingValue($XFD$9,"Original","Control Number",O$2,$A157)))</f>
        <v/>
      </c>
      <c r="P157" s="34" t="str" cm="1">
        <f t="array" ref="P157">IF($A157="","",IF($J157="No","",GetMatchingValue($XFD$9,"Original","Control Number",P$2,$A157)))</f>
        <v/>
      </c>
      <c r="Q157" s="34" t="str" cm="1">
        <f t="array" ref="Q157">IF($A157="","",IF($J157="No","",GetMatchingValue($XFD$9,"Original","Control Number",Q$2,$A157)))</f>
        <v/>
      </c>
      <c r="R157" s="34" t="str" cm="1">
        <f t="array" ref="R157">IF($A157="","",IF($J157="No","",GetMatchingValue($XFD$9,"Original","Control Number",R$2,$A157)))</f>
        <v/>
      </c>
      <c r="S157" s="34" t="str" cm="1">
        <f t="array" ref="S157">IF($A157="","",IF($J157="No","",GetMatchingValue($XFD$9,"Original","Control Number",S$2,$A157)))</f>
        <v/>
      </c>
      <c r="T157" s="34" t="str" cm="1">
        <f t="array" ref="T157">IF($A157="","",IF($J157="No","",GetMatchingValue($XFD$9,"Original","Control Number",T$2,$A157)))</f>
        <v/>
      </c>
      <c r="U157" s="34" t="str" cm="1">
        <f t="array" ref="U157">IF($A157="","",IF($J157="No","",GetMatchingValue($XFD$9,"Original","Control Number",U$2,$A157)))</f>
        <v/>
      </c>
      <c r="V157" s="14"/>
      <c r="W157" s="17"/>
      <c r="X157" s="17"/>
      <c r="Y157" s="17"/>
      <c r="Z157" s="13"/>
      <c r="AA157" s="13"/>
      <c r="AB157" s="13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3"/>
    </row>
    <row r="158" spans="1:45" ht="40.5" customHeight="1" x14ac:dyDescent="0.2">
      <c r="A158" s="13"/>
      <c r="B158" s="14"/>
      <c r="C158" s="15"/>
      <c r="D158" s="15"/>
      <c r="E158" s="13"/>
      <c r="F158" s="34" t="str" cm="1">
        <f t="array" ref="F158">IF($A158="","",GetMatchingValue($XFD$8,"Original","Control Number",F$2,$A158))</f>
        <v/>
      </c>
      <c r="G158" s="34" t="str" cm="1">
        <f t="array" ref="G158">IF($A158="","",GetMatchingValue($XFD$8,"Original","Control Number",G$2,$A158))</f>
        <v/>
      </c>
      <c r="H158" s="34" t="str" cm="1">
        <f t="array" ref="H158">IF($A158="","",GetMatchingValue($XFD$8,"Original","Control Number",H$2,$A158))</f>
        <v/>
      </c>
      <c r="I158" s="13"/>
      <c r="J158" s="13" t="str" cm="1">
        <f t="array" ref="J158">IF($A158="","",CheckControlNumberExists($XFD$9, "Original", $A158))</f>
        <v/>
      </c>
      <c r="K158" s="34" t="str" cm="1">
        <f t="array" ref="K158">IF($A158="","",IF($J158="No","",GetMatchingValue($XFD$9,"Original","Control Number",K$2,$A158)))</f>
        <v/>
      </c>
      <c r="L158" s="34" t="str" cm="1">
        <f t="array" ref="L158">IF($A158="","",IF($J158="No","",GetMatchingValue($XFD$9,"Original","Control Number",L$2,$A158)))</f>
        <v/>
      </c>
      <c r="M158" s="13" t="str">
        <f t="shared" ca="1" si="4"/>
        <v/>
      </c>
      <c r="N158" s="16"/>
      <c r="O158" s="34" t="str" cm="1">
        <f t="array" ref="O158">IF($A158="","",IF($J158="No","",GetMatchingValue($XFD$9,"Original","Control Number",O$2,$A158)))</f>
        <v/>
      </c>
      <c r="P158" s="34" t="str" cm="1">
        <f t="array" ref="P158">IF($A158="","",IF($J158="No","",GetMatchingValue($XFD$9,"Original","Control Number",P$2,$A158)))</f>
        <v/>
      </c>
      <c r="Q158" s="34" t="str" cm="1">
        <f t="array" ref="Q158">IF($A158="","",IF($J158="No","",GetMatchingValue($XFD$9,"Original","Control Number",Q$2,$A158)))</f>
        <v/>
      </c>
      <c r="R158" s="34" t="str" cm="1">
        <f t="array" ref="R158">IF($A158="","",IF($J158="No","",GetMatchingValue($XFD$9,"Original","Control Number",R$2,$A158)))</f>
        <v/>
      </c>
      <c r="S158" s="34" t="str" cm="1">
        <f t="array" ref="S158">IF($A158="","",IF($J158="No","",GetMatchingValue($XFD$9,"Original","Control Number",S$2,$A158)))</f>
        <v/>
      </c>
      <c r="T158" s="34" t="str" cm="1">
        <f t="array" ref="T158">IF($A158="","",IF($J158="No","",GetMatchingValue($XFD$9,"Original","Control Number",T$2,$A158)))</f>
        <v/>
      </c>
      <c r="U158" s="34" t="str" cm="1">
        <f t="array" ref="U158">IF($A158="","",IF($J158="No","",GetMatchingValue($XFD$9,"Original","Control Number",U$2,$A158)))</f>
        <v/>
      </c>
      <c r="V158" s="14"/>
      <c r="W158" s="17"/>
      <c r="X158" s="17"/>
      <c r="Y158" s="17"/>
      <c r="Z158" s="13"/>
      <c r="AA158" s="13"/>
      <c r="AB158" s="13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3"/>
    </row>
    <row r="159" spans="1:45" ht="40.5" customHeight="1" x14ac:dyDescent="0.2">
      <c r="A159" s="13"/>
      <c r="B159" s="14"/>
      <c r="C159" s="15"/>
      <c r="D159" s="15"/>
      <c r="E159" s="13"/>
      <c r="F159" s="34" t="str" cm="1">
        <f t="array" ref="F159">IF($A159="","",GetMatchingValue($XFD$8,"Original","Control Number",F$2,$A159))</f>
        <v/>
      </c>
      <c r="G159" s="34" t="str" cm="1">
        <f t="array" ref="G159">IF($A159="","",GetMatchingValue($XFD$8,"Original","Control Number",G$2,$A159))</f>
        <v/>
      </c>
      <c r="H159" s="34" t="str" cm="1">
        <f t="array" ref="H159">IF($A159="","",GetMatchingValue($XFD$8,"Original","Control Number",H$2,$A159))</f>
        <v/>
      </c>
      <c r="I159" s="13"/>
      <c r="J159" s="13" t="str" cm="1">
        <f t="array" ref="J159">IF($A159="","",CheckControlNumberExists($XFD$9, "Original", $A159))</f>
        <v/>
      </c>
      <c r="K159" s="34" t="str" cm="1">
        <f t="array" ref="K159">IF($A159="","",IF($J159="No","",GetMatchingValue($XFD$9,"Original","Control Number",K$2,$A159)))</f>
        <v/>
      </c>
      <c r="L159" s="34" t="str" cm="1">
        <f t="array" ref="L159">IF($A159="","",IF($J159="No","",GetMatchingValue($XFD$9,"Original","Control Number",L$2,$A159)))</f>
        <v/>
      </c>
      <c r="M159" s="13" t="str">
        <f t="shared" ca="1" si="4"/>
        <v/>
      </c>
      <c r="N159" s="16"/>
      <c r="O159" s="34" t="str" cm="1">
        <f t="array" ref="O159">IF($A159="","",IF($J159="No","",GetMatchingValue($XFD$9,"Original","Control Number",O$2,$A159)))</f>
        <v/>
      </c>
      <c r="P159" s="34" t="str" cm="1">
        <f t="array" ref="P159">IF($A159="","",IF($J159="No","",GetMatchingValue($XFD$9,"Original","Control Number",P$2,$A159)))</f>
        <v/>
      </c>
      <c r="Q159" s="34" t="str" cm="1">
        <f t="array" ref="Q159">IF($A159="","",IF($J159="No","",GetMatchingValue($XFD$9,"Original","Control Number",Q$2,$A159)))</f>
        <v/>
      </c>
      <c r="R159" s="34" t="str" cm="1">
        <f t="array" ref="R159">IF($A159="","",IF($J159="No","",GetMatchingValue($XFD$9,"Original","Control Number",R$2,$A159)))</f>
        <v/>
      </c>
      <c r="S159" s="34" t="str" cm="1">
        <f t="array" ref="S159">IF($A159="","",IF($J159="No","",GetMatchingValue($XFD$9,"Original","Control Number",S$2,$A159)))</f>
        <v/>
      </c>
      <c r="T159" s="34" t="str" cm="1">
        <f t="array" ref="T159">IF($A159="","",IF($J159="No","",GetMatchingValue($XFD$9,"Original","Control Number",T$2,$A159)))</f>
        <v/>
      </c>
      <c r="U159" s="34" t="str" cm="1">
        <f t="array" ref="U159">IF($A159="","",IF($J159="No","",GetMatchingValue($XFD$9,"Original","Control Number",U$2,$A159)))</f>
        <v/>
      </c>
      <c r="V159" s="14"/>
      <c r="W159" s="17"/>
      <c r="X159" s="17"/>
      <c r="Y159" s="17"/>
      <c r="Z159" s="13"/>
      <c r="AA159" s="13"/>
      <c r="AB159" s="13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3"/>
    </row>
    <row r="160" spans="1:45" ht="40.5" customHeight="1" x14ac:dyDescent="0.2">
      <c r="A160" s="13"/>
      <c r="B160" s="14"/>
      <c r="C160" s="15"/>
      <c r="D160" s="15"/>
      <c r="E160" s="13"/>
      <c r="F160" s="34" t="str" cm="1">
        <f t="array" ref="F160">IF($A160="","",GetMatchingValue($XFD$8,"Original","Control Number",F$2,$A160))</f>
        <v/>
      </c>
      <c r="G160" s="34" t="str" cm="1">
        <f t="array" ref="G160">IF($A160="","",GetMatchingValue($XFD$8,"Original","Control Number",G$2,$A160))</f>
        <v/>
      </c>
      <c r="H160" s="34" t="str" cm="1">
        <f t="array" ref="H160">IF($A160="","",GetMatchingValue($XFD$8,"Original","Control Number",H$2,$A160))</f>
        <v/>
      </c>
      <c r="I160" s="13"/>
      <c r="J160" s="13" t="str" cm="1">
        <f t="array" ref="J160">IF($A160="","",CheckControlNumberExists($XFD$9, "Original", $A160))</f>
        <v/>
      </c>
      <c r="K160" s="34" t="str" cm="1">
        <f t="array" ref="K160">IF($A160="","",IF($J160="No","",GetMatchingValue($XFD$9,"Original","Control Number",K$2,$A160)))</f>
        <v/>
      </c>
      <c r="L160" s="34" t="str" cm="1">
        <f t="array" ref="L160">IF($A160="","",IF($J160="No","",GetMatchingValue($XFD$9,"Original","Control Number",L$2,$A160)))</f>
        <v/>
      </c>
      <c r="M160" s="13" t="str">
        <f t="shared" ca="1" si="4"/>
        <v/>
      </c>
      <c r="N160" s="16"/>
      <c r="O160" s="34" t="str" cm="1">
        <f t="array" ref="O160">IF($A160="","",IF($J160="No","",GetMatchingValue($XFD$9,"Original","Control Number",O$2,$A160)))</f>
        <v/>
      </c>
      <c r="P160" s="34" t="str" cm="1">
        <f t="array" ref="P160">IF($A160="","",IF($J160="No","",GetMatchingValue($XFD$9,"Original","Control Number",P$2,$A160)))</f>
        <v/>
      </c>
      <c r="Q160" s="34" t="str" cm="1">
        <f t="array" ref="Q160">IF($A160="","",IF($J160="No","",GetMatchingValue($XFD$9,"Original","Control Number",Q$2,$A160)))</f>
        <v/>
      </c>
      <c r="R160" s="34" t="str" cm="1">
        <f t="array" ref="R160">IF($A160="","",IF($J160="No","",GetMatchingValue($XFD$9,"Original","Control Number",R$2,$A160)))</f>
        <v/>
      </c>
      <c r="S160" s="34" t="str" cm="1">
        <f t="array" ref="S160">IF($A160="","",IF($J160="No","",GetMatchingValue($XFD$9,"Original","Control Number",S$2,$A160)))</f>
        <v/>
      </c>
      <c r="T160" s="34" t="str" cm="1">
        <f t="array" ref="T160">IF($A160="","",IF($J160="No","",GetMatchingValue($XFD$9,"Original","Control Number",T$2,$A160)))</f>
        <v/>
      </c>
      <c r="U160" s="34" t="str" cm="1">
        <f t="array" ref="U160">IF($A160="","",IF($J160="No","",GetMatchingValue($XFD$9,"Original","Control Number",U$2,$A160)))</f>
        <v/>
      </c>
      <c r="V160" s="14"/>
      <c r="W160" s="17"/>
      <c r="X160" s="17"/>
      <c r="Y160" s="17"/>
      <c r="Z160" s="13"/>
      <c r="AA160" s="13"/>
      <c r="AB160" s="13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3"/>
    </row>
    <row r="161" spans="1:45" ht="40.5" customHeight="1" x14ac:dyDescent="0.2">
      <c r="A161" s="13"/>
      <c r="B161" s="14"/>
      <c r="C161" s="15"/>
      <c r="D161" s="15"/>
      <c r="E161" s="13"/>
      <c r="F161" s="34" t="str" cm="1">
        <f t="array" ref="F161">IF($A161="","",GetMatchingValue($XFD$8,"Original","Control Number",F$2,$A161))</f>
        <v/>
      </c>
      <c r="G161" s="34" t="str" cm="1">
        <f t="array" ref="G161">IF($A161="","",GetMatchingValue($XFD$8,"Original","Control Number",G$2,$A161))</f>
        <v/>
      </c>
      <c r="H161" s="34" t="str" cm="1">
        <f t="array" ref="H161">IF($A161="","",GetMatchingValue($XFD$8,"Original","Control Number",H$2,$A161))</f>
        <v/>
      </c>
      <c r="I161" s="13"/>
      <c r="J161" s="13" t="str" cm="1">
        <f t="array" ref="J161">IF($A161="","",CheckControlNumberExists($XFD$9, "Original", $A161))</f>
        <v/>
      </c>
      <c r="K161" s="34" t="str" cm="1">
        <f t="array" ref="K161">IF($A161="","",IF($J161="No","",GetMatchingValue($XFD$9,"Original","Control Number",K$2,$A161)))</f>
        <v/>
      </c>
      <c r="L161" s="34" t="str" cm="1">
        <f t="array" ref="L161">IF($A161="","",IF($J161="No","",GetMatchingValue($XFD$9,"Original","Control Number",L$2,$A161)))</f>
        <v/>
      </c>
      <c r="M161" s="13" t="str">
        <f t="shared" ca="1" si="4"/>
        <v/>
      </c>
      <c r="N161" s="16"/>
      <c r="O161" s="34" t="str" cm="1">
        <f t="array" ref="O161">IF($A161="","",IF($J161="No","",GetMatchingValue($XFD$9,"Original","Control Number",O$2,$A161)))</f>
        <v/>
      </c>
      <c r="P161" s="34" t="str" cm="1">
        <f t="array" ref="P161">IF($A161="","",IF($J161="No","",GetMatchingValue($XFD$9,"Original","Control Number",P$2,$A161)))</f>
        <v/>
      </c>
      <c r="Q161" s="34" t="str" cm="1">
        <f t="array" ref="Q161">IF($A161="","",IF($J161="No","",GetMatchingValue($XFD$9,"Original","Control Number",Q$2,$A161)))</f>
        <v/>
      </c>
      <c r="R161" s="34" t="str" cm="1">
        <f t="array" ref="R161">IF($A161="","",IF($J161="No","",GetMatchingValue($XFD$9,"Original","Control Number",R$2,$A161)))</f>
        <v/>
      </c>
      <c r="S161" s="34" t="str" cm="1">
        <f t="array" ref="S161">IF($A161="","",IF($J161="No","",GetMatchingValue($XFD$9,"Original","Control Number",S$2,$A161)))</f>
        <v/>
      </c>
      <c r="T161" s="34" t="str" cm="1">
        <f t="array" ref="T161">IF($A161="","",IF($J161="No","",GetMatchingValue($XFD$9,"Original","Control Number",T$2,$A161)))</f>
        <v/>
      </c>
      <c r="U161" s="34" t="str" cm="1">
        <f t="array" ref="U161">IF($A161="","",IF($J161="No","",GetMatchingValue($XFD$9,"Original","Control Number",U$2,$A161)))</f>
        <v/>
      </c>
      <c r="V161" s="14"/>
      <c r="W161" s="17"/>
      <c r="X161" s="17"/>
      <c r="Y161" s="17"/>
      <c r="Z161" s="13"/>
      <c r="AA161" s="13"/>
      <c r="AB161" s="13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3"/>
    </row>
    <row r="162" spans="1:45" ht="40.5" customHeight="1" x14ac:dyDescent="0.2">
      <c r="A162" s="13"/>
      <c r="B162" s="14"/>
      <c r="C162" s="15"/>
      <c r="D162" s="15"/>
      <c r="E162" s="13"/>
      <c r="F162" s="34" t="str" cm="1">
        <f t="array" ref="F162">IF($A162="","",GetMatchingValue($XFD$8,"Original","Control Number",F$2,$A162))</f>
        <v/>
      </c>
      <c r="G162" s="34" t="str" cm="1">
        <f t="array" ref="G162">IF($A162="","",GetMatchingValue($XFD$8,"Original","Control Number",G$2,$A162))</f>
        <v/>
      </c>
      <c r="H162" s="34" t="str" cm="1">
        <f t="array" ref="H162">IF($A162="","",GetMatchingValue($XFD$8,"Original","Control Number",H$2,$A162))</f>
        <v/>
      </c>
      <c r="I162" s="13"/>
      <c r="J162" s="13" t="str" cm="1">
        <f t="array" ref="J162">IF($A162="","",CheckControlNumberExists($XFD$9, "Original", $A162))</f>
        <v/>
      </c>
      <c r="K162" s="34" t="str" cm="1">
        <f t="array" ref="K162">IF($A162="","",IF($J162="No","",GetMatchingValue($XFD$9,"Original","Control Number",K$2,$A162)))</f>
        <v/>
      </c>
      <c r="L162" s="34" t="str" cm="1">
        <f t="array" ref="L162">IF($A162="","",IF($J162="No","",GetMatchingValue($XFD$9,"Original","Control Number",L$2,$A162)))</f>
        <v/>
      </c>
      <c r="M162" s="13" t="str">
        <f t="shared" ca="1" si="4"/>
        <v/>
      </c>
      <c r="N162" s="16"/>
      <c r="O162" s="34" t="str" cm="1">
        <f t="array" ref="O162">IF($A162="","",IF($J162="No","",GetMatchingValue($XFD$9,"Original","Control Number",O$2,$A162)))</f>
        <v/>
      </c>
      <c r="P162" s="34" t="str" cm="1">
        <f t="array" ref="P162">IF($A162="","",IF($J162="No","",GetMatchingValue($XFD$9,"Original","Control Number",P$2,$A162)))</f>
        <v/>
      </c>
      <c r="Q162" s="34" t="str" cm="1">
        <f t="array" ref="Q162">IF($A162="","",IF($J162="No","",GetMatchingValue($XFD$9,"Original","Control Number",Q$2,$A162)))</f>
        <v/>
      </c>
      <c r="R162" s="34" t="str" cm="1">
        <f t="array" ref="R162">IF($A162="","",IF($J162="No","",GetMatchingValue($XFD$9,"Original","Control Number",R$2,$A162)))</f>
        <v/>
      </c>
      <c r="S162" s="34" t="str" cm="1">
        <f t="array" ref="S162">IF($A162="","",IF($J162="No","",GetMatchingValue($XFD$9,"Original","Control Number",S$2,$A162)))</f>
        <v/>
      </c>
      <c r="T162" s="34" t="str" cm="1">
        <f t="array" ref="T162">IF($A162="","",IF($J162="No","",GetMatchingValue($XFD$9,"Original","Control Number",T$2,$A162)))</f>
        <v/>
      </c>
      <c r="U162" s="34" t="str" cm="1">
        <f t="array" ref="U162">IF($A162="","",IF($J162="No","",GetMatchingValue($XFD$9,"Original","Control Number",U$2,$A162)))</f>
        <v/>
      </c>
      <c r="V162" s="14"/>
      <c r="W162" s="17"/>
      <c r="X162" s="17"/>
      <c r="Y162" s="17"/>
      <c r="Z162" s="13"/>
      <c r="AA162" s="13"/>
      <c r="AB162" s="13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3"/>
    </row>
    <row r="163" spans="1:45" ht="40.5" customHeight="1" x14ac:dyDescent="0.2">
      <c r="A163" s="13"/>
      <c r="B163" s="14"/>
      <c r="C163" s="15"/>
      <c r="D163" s="15"/>
      <c r="E163" s="13"/>
      <c r="F163" s="34" t="str" cm="1">
        <f t="array" ref="F163">IF($A163="","",GetMatchingValue($XFD$8,"Original","Control Number",F$2,$A163))</f>
        <v/>
      </c>
      <c r="G163" s="34" t="str" cm="1">
        <f t="array" ref="G163">IF($A163="","",GetMatchingValue($XFD$8,"Original","Control Number",G$2,$A163))</f>
        <v/>
      </c>
      <c r="H163" s="34" t="str" cm="1">
        <f t="array" ref="H163">IF($A163="","",GetMatchingValue($XFD$8,"Original","Control Number",H$2,$A163))</f>
        <v/>
      </c>
      <c r="I163" s="13"/>
      <c r="J163" s="13" t="str" cm="1">
        <f t="array" ref="J163">IF($A163="","",CheckControlNumberExists($XFD$9, "Original", $A163))</f>
        <v/>
      </c>
      <c r="K163" s="34" t="str" cm="1">
        <f t="array" ref="K163">IF($A163="","",IF($J163="No","",GetMatchingValue($XFD$9,"Original","Control Number",K$2,$A163)))</f>
        <v/>
      </c>
      <c r="L163" s="34" t="str" cm="1">
        <f t="array" ref="L163">IF($A163="","",IF($J163="No","",GetMatchingValue($XFD$9,"Original","Control Number",L$2,$A163)))</f>
        <v/>
      </c>
      <c r="M163" s="13" t="str">
        <f t="shared" ca="1" si="4"/>
        <v/>
      </c>
      <c r="N163" s="16"/>
      <c r="O163" s="34" t="str" cm="1">
        <f t="array" ref="O163">IF($A163="","",IF($J163="No","",GetMatchingValue($XFD$9,"Original","Control Number",O$2,$A163)))</f>
        <v/>
      </c>
      <c r="P163" s="34" t="str" cm="1">
        <f t="array" ref="P163">IF($A163="","",IF($J163="No","",GetMatchingValue($XFD$9,"Original","Control Number",P$2,$A163)))</f>
        <v/>
      </c>
      <c r="Q163" s="34" t="str" cm="1">
        <f t="array" ref="Q163">IF($A163="","",IF($J163="No","",GetMatchingValue($XFD$9,"Original","Control Number",Q$2,$A163)))</f>
        <v/>
      </c>
      <c r="R163" s="34" t="str" cm="1">
        <f t="array" ref="R163">IF($A163="","",IF($J163="No","",GetMatchingValue($XFD$9,"Original","Control Number",R$2,$A163)))</f>
        <v/>
      </c>
      <c r="S163" s="34" t="str" cm="1">
        <f t="array" ref="S163">IF($A163="","",IF($J163="No","",GetMatchingValue($XFD$9,"Original","Control Number",S$2,$A163)))</f>
        <v/>
      </c>
      <c r="T163" s="34" t="str" cm="1">
        <f t="array" ref="T163">IF($A163="","",IF($J163="No","",GetMatchingValue($XFD$9,"Original","Control Number",T$2,$A163)))</f>
        <v/>
      </c>
      <c r="U163" s="34" t="str" cm="1">
        <f t="array" ref="U163">IF($A163="","",IF($J163="No","",GetMatchingValue($XFD$9,"Original","Control Number",U$2,$A163)))</f>
        <v/>
      </c>
      <c r="V163" s="14"/>
      <c r="W163" s="17"/>
      <c r="X163" s="17"/>
      <c r="Y163" s="17"/>
      <c r="Z163" s="13"/>
      <c r="AA163" s="13"/>
      <c r="AB163" s="13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3"/>
    </row>
    <row r="164" spans="1:45" ht="40.5" customHeight="1" x14ac:dyDescent="0.2">
      <c r="A164" s="13"/>
      <c r="B164" s="14"/>
      <c r="C164" s="15"/>
      <c r="D164" s="15"/>
      <c r="E164" s="13"/>
      <c r="F164" s="34" t="str" cm="1">
        <f t="array" ref="F164">IF($A164="","",GetMatchingValue($XFD$8,"Original","Control Number",F$2,$A164))</f>
        <v/>
      </c>
      <c r="G164" s="34" t="str" cm="1">
        <f t="array" ref="G164">IF($A164="","",GetMatchingValue($XFD$8,"Original","Control Number",G$2,$A164))</f>
        <v/>
      </c>
      <c r="H164" s="34" t="str" cm="1">
        <f t="array" ref="H164">IF($A164="","",GetMatchingValue($XFD$8,"Original","Control Number",H$2,$A164))</f>
        <v/>
      </c>
      <c r="I164" s="13"/>
      <c r="J164" s="13" t="str" cm="1">
        <f t="array" ref="J164">IF($A164="","",CheckControlNumberExists($XFD$9, "Original", $A164))</f>
        <v/>
      </c>
      <c r="K164" s="34" t="str" cm="1">
        <f t="array" ref="K164">IF($A164="","",IF($J164="No","",GetMatchingValue($XFD$9,"Original","Control Number",K$2,$A164)))</f>
        <v/>
      </c>
      <c r="L164" s="34" t="str" cm="1">
        <f t="array" ref="L164">IF($A164="","",IF($J164="No","",GetMatchingValue($XFD$9,"Original","Control Number",L$2,$A164)))</f>
        <v/>
      </c>
      <c r="M164" s="13" t="str">
        <f t="shared" ca="1" si="4"/>
        <v/>
      </c>
      <c r="N164" s="16"/>
      <c r="O164" s="34" t="str" cm="1">
        <f t="array" ref="O164">IF($A164="","",IF($J164="No","",GetMatchingValue($XFD$9,"Original","Control Number",O$2,$A164)))</f>
        <v/>
      </c>
      <c r="P164" s="34" t="str" cm="1">
        <f t="array" ref="P164">IF($A164="","",IF($J164="No","",GetMatchingValue($XFD$9,"Original","Control Number",P$2,$A164)))</f>
        <v/>
      </c>
      <c r="Q164" s="34" t="str" cm="1">
        <f t="array" ref="Q164">IF($A164="","",IF($J164="No","",GetMatchingValue($XFD$9,"Original","Control Number",Q$2,$A164)))</f>
        <v/>
      </c>
      <c r="R164" s="34" t="str" cm="1">
        <f t="array" ref="R164">IF($A164="","",IF($J164="No","",GetMatchingValue($XFD$9,"Original","Control Number",R$2,$A164)))</f>
        <v/>
      </c>
      <c r="S164" s="34" t="str" cm="1">
        <f t="array" ref="S164">IF($A164="","",IF($J164="No","",GetMatchingValue($XFD$9,"Original","Control Number",S$2,$A164)))</f>
        <v/>
      </c>
      <c r="T164" s="34" t="str" cm="1">
        <f t="array" ref="T164">IF($A164="","",IF($J164="No","",GetMatchingValue($XFD$9,"Original","Control Number",T$2,$A164)))</f>
        <v/>
      </c>
      <c r="U164" s="34" t="str" cm="1">
        <f t="array" ref="U164">IF($A164="","",IF($J164="No","",GetMatchingValue($XFD$9,"Original","Control Number",U$2,$A164)))</f>
        <v/>
      </c>
      <c r="V164" s="14"/>
      <c r="W164" s="17"/>
      <c r="X164" s="17"/>
      <c r="Y164" s="17"/>
      <c r="Z164" s="13"/>
      <c r="AA164" s="13"/>
      <c r="AB164" s="13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3"/>
    </row>
    <row r="165" spans="1:45" ht="40.5" customHeight="1" x14ac:dyDescent="0.2">
      <c r="A165" s="13"/>
      <c r="B165" s="14"/>
      <c r="C165" s="15"/>
      <c r="D165" s="15"/>
      <c r="E165" s="13"/>
      <c r="F165" s="34" t="str" cm="1">
        <f t="array" ref="F165">IF($A165="","",GetMatchingValue($XFD$8,"Original","Control Number",F$2,$A165))</f>
        <v/>
      </c>
      <c r="G165" s="34" t="str" cm="1">
        <f t="array" ref="G165">IF($A165="","",GetMatchingValue($XFD$8,"Original","Control Number",G$2,$A165))</f>
        <v/>
      </c>
      <c r="H165" s="34" t="str" cm="1">
        <f t="array" ref="H165">IF($A165="","",GetMatchingValue($XFD$8,"Original","Control Number",H$2,$A165))</f>
        <v/>
      </c>
      <c r="I165" s="13"/>
      <c r="J165" s="13" t="str" cm="1">
        <f t="array" ref="J165">IF($A165="","",CheckControlNumberExists($XFD$9, "Original", $A165))</f>
        <v/>
      </c>
      <c r="K165" s="34" t="str" cm="1">
        <f t="array" ref="K165">IF($A165="","",IF($J165="No","",GetMatchingValue($XFD$9,"Original","Control Number",K$2,$A165)))</f>
        <v/>
      </c>
      <c r="L165" s="34" t="str" cm="1">
        <f t="array" ref="L165">IF($A165="","",IF($J165="No","",GetMatchingValue($XFD$9,"Original","Control Number",L$2,$A165)))</f>
        <v/>
      </c>
      <c r="M165" s="13" t="str">
        <f t="shared" ca="1" si="4"/>
        <v/>
      </c>
      <c r="N165" s="16"/>
      <c r="O165" s="34" t="str" cm="1">
        <f t="array" ref="O165">IF($A165="","",IF($J165="No","",GetMatchingValue($XFD$9,"Original","Control Number",O$2,$A165)))</f>
        <v/>
      </c>
      <c r="P165" s="34" t="str" cm="1">
        <f t="array" ref="P165">IF($A165="","",IF($J165="No","",GetMatchingValue($XFD$9,"Original","Control Number",P$2,$A165)))</f>
        <v/>
      </c>
      <c r="Q165" s="34" t="str" cm="1">
        <f t="array" ref="Q165">IF($A165="","",IF($J165="No","",GetMatchingValue($XFD$9,"Original","Control Number",Q$2,$A165)))</f>
        <v/>
      </c>
      <c r="R165" s="34" t="str" cm="1">
        <f t="array" ref="R165">IF($A165="","",IF($J165="No","",GetMatchingValue($XFD$9,"Original","Control Number",R$2,$A165)))</f>
        <v/>
      </c>
      <c r="S165" s="34" t="str" cm="1">
        <f t="array" ref="S165">IF($A165="","",IF($J165="No","",GetMatchingValue($XFD$9,"Original","Control Number",S$2,$A165)))</f>
        <v/>
      </c>
      <c r="T165" s="34" t="str" cm="1">
        <f t="array" ref="T165">IF($A165="","",IF($J165="No","",GetMatchingValue($XFD$9,"Original","Control Number",T$2,$A165)))</f>
        <v/>
      </c>
      <c r="U165" s="34" t="str" cm="1">
        <f t="array" ref="U165">IF($A165="","",IF($J165="No","",GetMatchingValue($XFD$9,"Original","Control Number",U$2,$A165)))</f>
        <v/>
      </c>
      <c r="V165" s="14"/>
      <c r="W165" s="17"/>
      <c r="X165" s="17"/>
      <c r="Y165" s="17"/>
      <c r="Z165" s="13"/>
      <c r="AA165" s="13"/>
      <c r="AB165" s="13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3"/>
    </row>
    <row r="166" spans="1:45" ht="40.5" customHeight="1" x14ac:dyDescent="0.2">
      <c r="A166" s="13"/>
      <c r="B166" s="14"/>
      <c r="C166" s="15"/>
      <c r="D166" s="15"/>
      <c r="E166" s="13"/>
      <c r="F166" s="34" t="str" cm="1">
        <f t="array" ref="F166">IF($A166="","",GetMatchingValue($XFD$8,"Original","Control Number",F$2,$A166))</f>
        <v/>
      </c>
      <c r="G166" s="34" t="str" cm="1">
        <f t="array" ref="G166">IF($A166="","",GetMatchingValue($XFD$8,"Original","Control Number",G$2,$A166))</f>
        <v/>
      </c>
      <c r="H166" s="34" t="str" cm="1">
        <f t="array" ref="H166">IF($A166="","",GetMatchingValue($XFD$8,"Original","Control Number",H$2,$A166))</f>
        <v/>
      </c>
      <c r="I166" s="13"/>
      <c r="J166" s="13" t="str" cm="1">
        <f t="array" ref="J166">IF($A166="","",CheckControlNumberExists($XFD$9, "Original", $A166))</f>
        <v/>
      </c>
      <c r="K166" s="34" t="str" cm="1">
        <f t="array" ref="K166">IF($A166="","",IF($J166="No","",GetMatchingValue($XFD$9,"Original","Control Number",K$2,$A166)))</f>
        <v/>
      </c>
      <c r="L166" s="34" t="str" cm="1">
        <f t="array" ref="L166">IF($A166="","",IF($J166="No","",GetMatchingValue($XFD$9,"Original","Control Number",L$2,$A166)))</f>
        <v/>
      </c>
      <c r="M166" s="13" t="str">
        <f t="shared" ca="1" si="4"/>
        <v/>
      </c>
      <c r="N166" s="16"/>
      <c r="O166" s="34" t="str" cm="1">
        <f t="array" ref="O166">IF($A166="","",IF($J166="No","",GetMatchingValue($XFD$9,"Original","Control Number",O$2,$A166)))</f>
        <v/>
      </c>
      <c r="P166" s="34" t="str" cm="1">
        <f t="array" ref="P166">IF($A166="","",IF($J166="No","",GetMatchingValue($XFD$9,"Original","Control Number",P$2,$A166)))</f>
        <v/>
      </c>
      <c r="Q166" s="34" t="str" cm="1">
        <f t="array" ref="Q166">IF($A166="","",IF($J166="No","",GetMatchingValue($XFD$9,"Original","Control Number",Q$2,$A166)))</f>
        <v/>
      </c>
      <c r="R166" s="34" t="str" cm="1">
        <f t="array" ref="R166">IF($A166="","",IF($J166="No","",GetMatchingValue($XFD$9,"Original","Control Number",R$2,$A166)))</f>
        <v/>
      </c>
      <c r="S166" s="34" t="str" cm="1">
        <f t="array" ref="S166">IF($A166="","",IF($J166="No","",GetMatchingValue($XFD$9,"Original","Control Number",S$2,$A166)))</f>
        <v/>
      </c>
      <c r="T166" s="34" t="str" cm="1">
        <f t="array" ref="T166">IF($A166="","",IF($J166="No","",GetMatchingValue($XFD$9,"Original","Control Number",T$2,$A166)))</f>
        <v/>
      </c>
      <c r="U166" s="34" t="str" cm="1">
        <f t="array" ref="U166">IF($A166="","",IF($J166="No","",GetMatchingValue($XFD$9,"Original","Control Number",U$2,$A166)))</f>
        <v/>
      </c>
      <c r="V166" s="14"/>
      <c r="W166" s="17"/>
      <c r="X166" s="17"/>
      <c r="Y166" s="17"/>
      <c r="Z166" s="13"/>
      <c r="AA166" s="13"/>
      <c r="AB166" s="13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3"/>
    </row>
    <row r="167" spans="1:45" ht="40.5" customHeight="1" x14ac:dyDescent="0.2">
      <c r="A167" s="18"/>
      <c r="B167" s="14"/>
      <c r="C167" s="15"/>
      <c r="D167" s="15"/>
      <c r="E167" s="13"/>
      <c r="F167" s="34" t="str" cm="1">
        <f t="array" ref="F167">IF($A167="","",GetMatchingValue($XFD$8,"Original","Control Number",F$2,$A167))</f>
        <v/>
      </c>
      <c r="G167" s="34" t="str" cm="1">
        <f t="array" ref="G167">IF($A167="","",GetMatchingValue($XFD$8,"Original","Control Number",G$2,$A167))</f>
        <v/>
      </c>
      <c r="H167" s="34" t="str" cm="1">
        <f t="array" ref="H167">IF($A167="","",GetMatchingValue($XFD$8,"Original","Control Number",H$2,$A167))</f>
        <v/>
      </c>
      <c r="I167" s="13"/>
      <c r="J167" s="13" t="str" cm="1">
        <f t="array" ref="J167">IF($A167="","",CheckControlNumberExists($XFD$9, "Original", $A167))</f>
        <v/>
      </c>
      <c r="K167" s="34" t="str" cm="1">
        <f t="array" ref="K167">IF($A167="","",IF($J167="No","",GetMatchingValue($XFD$9,"Original","Control Number",K$2,$A167)))</f>
        <v/>
      </c>
      <c r="L167" s="34" t="str" cm="1">
        <f t="array" ref="L167">IF($A167="","",IF($J167="No","",GetMatchingValue($XFD$9,"Original","Control Number",L$2,$A167)))</f>
        <v/>
      </c>
      <c r="M167" s="13" t="str">
        <f t="shared" ca="1" si="4"/>
        <v/>
      </c>
      <c r="N167" s="16"/>
      <c r="O167" s="34" t="str" cm="1">
        <f t="array" ref="O167">IF($A167="","",IF($J167="No","",GetMatchingValue($XFD$9,"Original","Control Number",O$2,$A167)))</f>
        <v/>
      </c>
      <c r="P167" s="34" t="str" cm="1">
        <f t="array" ref="P167">IF($A167="","",IF($J167="No","",GetMatchingValue($XFD$9,"Original","Control Number",P$2,$A167)))</f>
        <v/>
      </c>
      <c r="Q167" s="34" t="str" cm="1">
        <f t="array" ref="Q167">IF($A167="","",IF($J167="No","",GetMatchingValue($XFD$9,"Original","Control Number",Q$2,$A167)))</f>
        <v/>
      </c>
      <c r="R167" s="34" t="str" cm="1">
        <f t="array" ref="R167">IF($A167="","",IF($J167="No","",GetMatchingValue($XFD$9,"Original","Control Number",R$2,$A167)))</f>
        <v/>
      </c>
      <c r="S167" s="34" t="str" cm="1">
        <f t="array" ref="S167">IF($A167="","",IF($J167="No","",GetMatchingValue($XFD$9,"Original","Control Number",S$2,$A167)))</f>
        <v/>
      </c>
      <c r="T167" s="34" t="str" cm="1">
        <f t="array" ref="T167">IF($A167="","",IF($J167="No","",GetMatchingValue($XFD$9,"Original","Control Number",T$2,$A167)))</f>
        <v/>
      </c>
      <c r="U167" s="34" t="str" cm="1">
        <f t="array" ref="U167">IF($A167="","",IF($J167="No","",GetMatchingValue($XFD$9,"Original","Control Number",U$2,$A167)))</f>
        <v/>
      </c>
      <c r="V167" s="14"/>
      <c r="W167" s="17"/>
      <c r="X167" s="17"/>
      <c r="Y167" s="17"/>
      <c r="Z167" s="13"/>
      <c r="AA167" s="13"/>
      <c r="AB167" s="13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3"/>
    </row>
    <row r="168" spans="1:45" ht="40.5" customHeight="1" x14ac:dyDescent="0.2">
      <c r="A168" s="13"/>
      <c r="B168" s="14"/>
      <c r="C168" s="15"/>
      <c r="D168" s="15"/>
      <c r="E168" s="13"/>
      <c r="F168" s="34" t="str" cm="1">
        <f t="array" ref="F168">IF($A168="","",GetMatchingValue($XFD$8,"Original","Control Number",F$2,$A168))</f>
        <v/>
      </c>
      <c r="G168" s="34" t="str" cm="1">
        <f t="array" ref="G168">IF($A168="","",GetMatchingValue($XFD$8,"Original","Control Number",G$2,$A168))</f>
        <v/>
      </c>
      <c r="H168" s="34" t="str" cm="1">
        <f t="array" ref="H168">IF($A168="","",GetMatchingValue($XFD$8,"Original","Control Number",H$2,$A168))</f>
        <v/>
      </c>
      <c r="I168" s="13"/>
      <c r="J168" s="13" t="str" cm="1">
        <f t="array" ref="J168">IF($A168="","",CheckControlNumberExists($XFD$9, "Original", $A168))</f>
        <v/>
      </c>
      <c r="K168" s="34" t="str" cm="1">
        <f t="array" ref="K168">IF($A168="","",IF($J168="No","",GetMatchingValue($XFD$9,"Original","Control Number",K$2,$A168)))</f>
        <v/>
      </c>
      <c r="L168" s="34" t="str" cm="1">
        <f t="array" ref="L168">IF($A168="","",IF($J168="No","",GetMatchingValue($XFD$9,"Original","Control Number",L$2,$A168)))</f>
        <v/>
      </c>
      <c r="M168" s="13" t="str">
        <f t="shared" ca="1" si="4"/>
        <v/>
      </c>
      <c r="N168" s="16"/>
      <c r="O168" s="34" t="str" cm="1">
        <f t="array" ref="O168">IF($A168="","",IF($J168="No","",GetMatchingValue($XFD$9,"Original","Control Number",O$2,$A168)))</f>
        <v/>
      </c>
      <c r="P168" s="34" t="str" cm="1">
        <f t="array" ref="P168">IF($A168="","",IF($J168="No","",GetMatchingValue($XFD$9,"Original","Control Number",P$2,$A168)))</f>
        <v/>
      </c>
      <c r="Q168" s="34" t="str" cm="1">
        <f t="array" ref="Q168">IF($A168="","",IF($J168="No","",GetMatchingValue($XFD$9,"Original","Control Number",Q$2,$A168)))</f>
        <v/>
      </c>
      <c r="R168" s="34" t="str" cm="1">
        <f t="array" ref="R168">IF($A168="","",IF($J168="No","",GetMatchingValue($XFD$9,"Original","Control Number",R$2,$A168)))</f>
        <v/>
      </c>
      <c r="S168" s="34" t="str" cm="1">
        <f t="array" ref="S168">IF($A168="","",IF($J168="No","",GetMatchingValue($XFD$9,"Original","Control Number",S$2,$A168)))</f>
        <v/>
      </c>
      <c r="T168" s="34" t="str" cm="1">
        <f t="array" ref="T168">IF($A168="","",IF($J168="No","",GetMatchingValue($XFD$9,"Original","Control Number",T$2,$A168)))</f>
        <v/>
      </c>
      <c r="U168" s="34" t="str" cm="1">
        <f t="array" ref="U168">IF($A168="","",IF($J168="No","",GetMatchingValue($XFD$9,"Original","Control Number",U$2,$A168)))</f>
        <v/>
      </c>
      <c r="V168" s="14"/>
      <c r="W168" s="17"/>
      <c r="X168" s="17"/>
      <c r="Y168" s="17"/>
      <c r="Z168" s="13"/>
      <c r="AA168" s="13"/>
      <c r="AB168" s="13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3"/>
    </row>
    <row r="169" spans="1:45" ht="40.5" customHeight="1" x14ac:dyDescent="0.2">
      <c r="A169" s="13"/>
      <c r="B169" s="14"/>
      <c r="C169" s="15"/>
      <c r="D169" s="15"/>
      <c r="E169" s="13"/>
      <c r="F169" s="34" t="str" cm="1">
        <f t="array" ref="F169">IF($A169="","",GetMatchingValue($XFD$8,"Original","Control Number",F$2,$A169))</f>
        <v/>
      </c>
      <c r="G169" s="34" t="str" cm="1">
        <f t="array" ref="G169">IF($A169="","",GetMatchingValue($XFD$8,"Original","Control Number",G$2,$A169))</f>
        <v/>
      </c>
      <c r="H169" s="34" t="str" cm="1">
        <f t="array" ref="H169">IF($A169="","",GetMatchingValue($XFD$8,"Original","Control Number",H$2,$A169))</f>
        <v/>
      </c>
      <c r="I169" s="13"/>
      <c r="J169" s="13" t="str" cm="1">
        <f t="array" ref="J169">IF($A169="","",CheckControlNumberExists($XFD$9, "Original", $A169))</f>
        <v/>
      </c>
      <c r="K169" s="34" t="str" cm="1">
        <f t="array" ref="K169">IF($A169="","",IF($J169="No","",GetMatchingValue($XFD$9,"Original","Control Number",K$2,$A169)))</f>
        <v/>
      </c>
      <c r="L169" s="34" t="str" cm="1">
        <f t="array" ref="L169">IF($A169="","",IF($J169="No","",GetMatchingValue($XFD$9,"Original","Control Number",L$2,$A169)))</f>
        <v/>
      </c>
      <c r="M169" s="13" t="str">
        <f t="shared" ca="1" si="4"/>
        <v/>
      </c>
      <c r="N169" s="16"/>
      <c r="O169" s="34" t="str" cm="1">
        <f t="array" ref="O169">IF($A169="","",IF($J169="No","",GetMatchingValue($XFD$9,"Original","Control Number",O$2,$A169)))</f>
        <v/>
      </c>
      <c r="P169" s="34" t="str" cm="1">
        <f t="array" ref="P169">IF($A169="","",IF($J169="No","",GetMatchingValue($XFD$9,"Original","Control Number",P$2,$A169)))</f>
        <v/>
      </c>
      <c r="Q169" s="34" t="str" cm="1">
        <f t="array" ref="Q169">IF($A169="","",IF($J169="No","",GetMatchingValue($XFD$9,"Original","Control Number",Q$2,$A169)))</f>
        <v/>
      </c>
      <c r="R169" s="34" t="str" cm="1">
        <f t="array" ref="R169">IF($A169="","",IF($J169="No","",GetMatchingValue($XFD$9,"Original","Control Number",R$2,$A169)))</f>
        <v/>
      </c>
      <c r="S169" s="34" t="str" cm="1">
        <f t="array" ref="S169">IF($A169="","",IF($J169="No","",GetMatchingValue($XFD$9,"Original","Control Number",S$2,$A169)))</f>
        <v/>
      </c>
      <c r="T169" s="34" t="str" cm="1">
        <f t="array" ref="T169">IF($A169="","",IF($J169="No","",GetMatchingValue($XFD$9,"Original","Control Number",T$2,$A169)))</f>
        <v/>
      </c>
      <c r="U169" s="34" t="str" cm="1">
        <f t="array" ref="U169">IF($A169="","",IF($J169="No","",GetMatchingValue($XFD$9,"Original","Control Number",U$2,$A169)))</f>
        <v/>
      </c>
      <c r="V169" s="14"/>
      <c r="W169" s="17"/>
      <c r="X169" s="17"/>
      <c r="Y169" s="17"/>
      <c r="Z169" s="13"/>
      <c r="AA169" s="13"/>
      <c r="AB169" s="13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3"/>
    </row>
    <row r="170" spans="1:45" ht="40.5" customHeight="1" x14ac:dyDescent="0.2">
      <c r="A170" s="13"/>
      <c r="B170" s="14"/>
      <c r="C170" s="15"/>
      <c r="D170" s="15"/>
      <c r="E170" s="13"/>
      <c r="F170" s="34" t="str" cm="1">
        <f t="array" ref="F170">IF($A170="","",GetMatchingValue($XFD$8,"Original","Control Number",F$2,$A170))</f>
        <v/>
      </c>
      <c r="G170" s="34" t="str" cm="1">
        <f t="array" ref="G170">IF($A170="","",GetMatchingValue($XFD$8,"Original","Control Number",G$2,$A170))</f>
        <v/>
      </c>
      <c r="H170" s="34" t="str" cm="1">
        <f t="array" ref="H170">IF($A170="","",GetMatchingValue($XFD$8,"Original","Control Number",H$2,$A170))</f>
        <v/>
      </c>
      <c r="I170" s="13"/>
      <c r="J170" s="13" t="str" cm="1">
        <f t="array" ref="J170">IF($A170="","",CheckControlNumberExists($XFD$9, "Original", $A170))</f>
        <v/>
      </c>
      <c r="K170" s="34" t="str" cm="1">
        <f t="array" ref="K170">IF($A170="","",IF($J170="No","",GetMatchingValue($XFD$9,"Original","Control Number",K$2,$A170)))</f>
        <v/>
      </c>
      <c r="L170" s="34" t="str" cm="1">
        <f t="array" ref="L170">IF($A170="","",IF($J170="No","",GetMatchingValue($XFD$9,"Original","Control Number",L$2,$A170)))</f>
        <v/>
      </c>
      <c r="M170" s="13" t="str">
        <f t="shared" ca="1" si="4"/>
        <v/>
      </c>
      <c r="N170" s="16"/>
      <c r="O170" s="34" t="str" cm="1">
        <f t="array" ref="O170">IF($A170="","",IF($J170="No","",GetMatchingValue($XFD$9,"Original","Control Number",O$2,$A170)))</f>
        <v/>
      </c>
      <c r="P170" s="34" t="str" cm="1">
        <f t="array" ref="P170">IF($A170="","",IF($J170="No","",GetMatchingValue($XFD$9,"Original","Control Number",P$2,$A170)))</f>
        <v/>
      </c>
      <c r="Q170" s="34" t="str" cm="1">
        <f t="array" ref="Q170">IF($A170="","",IF($J170="No","",GetMatchingValue($XFD$9,"Original","Control Number",Q$2,$A170)))</f>
        <v/>
      </c>
      <c r="R170" s="34" t="str" cm="1">
        <f t="array" ref="R170">IF($A170="","",IF($J170="No","",GetMatchingValue($XFD$9,"Original","Control Number",R$2,$A170)))</f>
        <v/>
      </c>
      <c r="S170" s="34" t="str" cm="1">
        <f t="array" ref="S170">IF($A170="","",IF($J170="No","",GetMatchingValue($XFD$9,"Original","Control Number",S$2,$A170)))</f>
        <v/>
      </c>
      <c r="T170" s="34" t="str" cm="1">
        <f t="array" ref="T170">IF($A170="","",IF($J170="No","",GetMatchingValue($XFD$9,"Original","Control Number",T$2,$A170)))</f>
        <v/>
      </c>
      <c r="U170" s="34" t="str" cm="1">
        <f t="array" ref="U170">IF($A170="","",IF($J170="No","",GetMatchingValue($XFD$9,"Original","Control Number",U$2,$A170)))</f>
        <v/>
      </c>
      <c r="V170" s="14"/>
      <c r="W170" s="17"/>
      <c r="X170" s="17"/>
      <c r="Y170" s="17"/>
      <c r="Z170" s="13"/>
      <c r="AA170" s="13"/>
      <c r="AB170" s="13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3"/>
    </row>
    <row r="171" spans="1:45" ht="40.5" customHeight="1" x14ac:dyDescent="0.2">
      <c r="A171" s="13"/>
      <c r="B171" s="14"/>
      <c r="C171" s="15"/>
      <c r="D171" s="15"/>
      <c r="E171" s="13"/>
      <c r="F171" s="34" t="str" cm="1">
        <f t="array" ref="F171">IF($A171="","",GetMatchingValue($XFD$8,"Original","Control Number",F$2,$A171))</f>
        <v/>
      </c>
      <c r="G171" s="34" t="str" cm="1">
        <f t="array" ref="G171">IF($A171="","",GetMatchingValue($XFD$8,"Original","Control Number",G$2,$A171))</f>
        <v/>
      </c>
      <c r="H171" s="34" t="str" cm="1">
        <f t="array" ref="H171">IF($A171="","",GetMatchingValue($XFD$8,"Original","Control Number",H$2,$A171))</f>
        <v/>
      </c>
      <c r="I171" s="13"/>
      <c r="J171" s="13" t="str" cm="1">
        <f t="array" ref="J171">IF($A171="","",CheckControlNumberExists($XFD$9, "Original", $A171))</f>
        <v/>
      </c>
      <c r="K171" s="34" t="str" cm="1">
        <f t="array" ref="K171">IF($A171="","",IF($J171="No","",GetMatchingValue($XFD$9,"Original","Control Number",K$2,$A171)))</f>
        <v/>
      </c>
      <c r="L171" s="34" t="str" cm="1">
        <f t="array" ref="L171">IF($A171="","",IF($J171="No","",GetMatchingValue($XFD$9,"Original","Control Number",L$2,$A171)))</f>
        <v/>
      </c>
      <c r="M171" s="13" t="str">
        <f t="shared" ca="1" si="4"/>
        <v/>
      </c>
      <c r="N171" s="16"/>
      <c r="O171" s="34" t="str" cm="1">
        <f t="array" ref="O171">IF($A171="","",IF($J171="No","",GetMatchingValue($XFD$9,"Original","Control Number",O$2,$A171)))</f>
        <v/>
      </c>
      <c r="P171" s="34" t="str" cm="1">
        <f t="array" ref="P171">IF($A171="","",IF($J171="No","",GetMatchingValue($XFD$9,"Original","Control Number",P$2,$A171)))</f>
        <v/>
      </c>
      <c r="Q171" s="34" t="str" cm="1">
        <f t="array" ref="Q171">IF($A171="","",IF($J171="No","",GetMatchingValue($XFD$9,"Original","Control Number",Q$2,$A171)))</f>
        <v/>
      </c>
      <c r="R171" s="34" t="str" cm="1">
        <f t="array" ref="R171">IF($A171="","",IF($J171="No","",GetMatchingValue($XFD$9,"Original","Control Number",R$2,$A171)))</f>
        <v/>
      </c>
      <c r="S171" s="34" t="str" cm="1">
        <f t="array" ref="S171">IF($A171="","",IF($J171="No","",GetMatchingValue($XFD$9,"Original","Control Number",S$2,$A171)))</f>
        <v/>
      </c>
      <c r="T171" s="34" t="str" cm="1">
        <f t="array" ref="T171">IF($A171="","",IF($J171="No","",GetMatchingValue($XFD$9,"Original","Control Number",T$2,$A171)))</f>
        <v/>
      </c>
      <c r="U171" s="34" t="str" cm="1">
        <f t="array" ref="U171">IF($A171="","",IF($J171="No","",GetMatchingValue($XFD$9,"Original","Control Number",U$2,$A171)))</f>
        <v/>
      </c>
      <c r="V171" s="14"/>
      <c r="W171" s="17"/>
      <c r="X171" s="17"/>
      <c r="Y171" s="17"/>
      <c r="Z171" s="13"/>
      <c r="AA171" s="13"/>
      <c r="AB171" s="13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3"/>
    </row>
    <row r="172" spans="1:45" ht="40.5" customHeight="1" x14ac:dyDescent="0.2">
      <c r="A172" s="13"/>
      <c r="B172" s="14"/>
      <c r="C172" s="15"/>
      <c r="D172" s="15"/>
      <c r="E172" s="13"/>
      <c r="F172" s="34" t="str" cm="1">
        <f t="array" ref="F172">IF($A172="","",GetMatchingValue($XFD$8,"Original","Control Number",F$2,$A172))</f>
        <v/>
      </c>
      <c r="G172" s="34" t="str" cm="1">
        <f t="array" ref="G172">IF($A172="","",GetMatchingValue($XFD$8,"Original","Control Number",G$2,$A172))</f>
        <v/>
      </c>
      <c r="H172" s="34" t="str" cm="1">
        <f t="array" ref="H172">IF($A172="","",GetMatchingValue($XFD$8,"Original","Control Number",H$2,$A172))</f>
        <v/>
      </c>
      <c r="I172" s="13"/>
      <c r="J172" s="13" t="str" cm="1">
        <f t="array" ref="J172">IF($A172="","",CheckControlNumberExists($XFD$9, "Original", $A172))</f>
        <v/>
      </c>
      <c r="K172" s="34" t="str" cm="1">
        <f t="array" ref="K172">IF($A172="","",IF($J172="No","",GetMatchingValue($XFD$9,"Original","Control Number",K$2,$A172)))</f>
        <v/>
      </c>
      <c r="L172" s="34" t="str" cm="1">
        <f t="array" ref="L172">IF($A172="","",IF($J172="No","",GetMatchingValue($XFD$9,"Original","Control Number",L$2,$A172)))</f>
        <v/>
      </c>
      <c r="M172" s="13" t="str">
        <f t="shared" ca="1" si="4"/>
        <v/>
      </c>
      <c r="N172" s="16"/>
      <c r="O172" s="34" t="str" cm="1">
        <f t="array" ref="O172">IF($A172="","",IF($J172="No","",GetMatchingValue($XFD$9,"Original","Control Number",O$2,$A172)))</f>
        <v/>
      </c>
      <c r="P172" s="34" t="str" cm="1">
        <f t="array" ref="P172">IF($A172="","",IF($J172="No","",GetMatchingValue($XFD$9,"Original","Control Number",P$2,$A172)))</f>
        <v/>
      </c>
      <c r="Q172" s="34" t="str" cm="1">
        <f t="array" ref="Q172">IF($A172="","",IF($J172="No","",GetMatchingValue($XFD$9,"Original","Control Number",Q$2,$A172)))</f>
        <v/>
      </c>
      <c r="R172" s="34" t="str" cm="1">
        <f t="array" ref="R172">IF($A172="","",IF($J172="No","",GetMatchingValue($XFD$9,"Original","Control Number",R$2,$A172)))</f>
        <v/>
      </c>
      <c r="S172" s="34" t="str" cm="1">
        <f t="array" ref="S172">IF($A172="","",IF($J172="No","",GetMatchingValue($XFD$9,"Original","Control Number",S$2,$A172)))</f>
        <v/>
      </c>
      <c r="T172" s="34" t="str" cm="1">
        <f t="array" ref="T172">IF($A172="","",IF($J172="No","",GetMatchingValue($XFD$9,"Original","Control Number",T$2,$A172)))</f>
        <v/>
      </c>
      <c r="U172" s="34" t="str" cm="1">
        <f t="array" ref="U172">IF($A172="","",IF($J172="No","",GetMatchingValue($XFD$9,"Original","Control Number",U$2,$A172)))</f>
        <v/>
      </c>
      <c r="V172" s="14"/>
      <c r="W172" s="17"/>
      <c r="X172" s="17"/>
      <c r="Y172" s="17"/>
      <c r="Z172" s="13"/>
      <c r="AA172" s="13"/>
      <c r="AB172" s="13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3"/>
    </row>
    <row r="173" spans="1:45" ht="40.5" customHeight="1" x14ac:dyDescent="0.2">
      <c r="A173" s="13"/>
      <c r="B173" s="14"/>
      <c r="C173" s="15"/>
      <c r="D173" s="15"/>
      <c r="E173" s="13"/>
      <c r="F173" s="34" t="str" cm="1">
        <f t="array" ref="F173">IF($A173="","",GetMatchingValue($XFD$8,"Original","Control Number",F$2,$A173))</f>
        <v/>
      </c>
      <c r="G173" s="34" t="str" cm="1">
        <f t="array" ref="G173">IF($A173="","",GetMatchingValue($XFD$8,"Original","Control Number",G$2,$A173))</f>
        <v/>
      </c>
      <c r="H173" s="34" t="str" cm="1">
        <f t="array" ref="H173">IF($A173="","",GetMatchingValue($XFD$8,"Original","Control Number",H$2,$A173))</f>
        <v/>
      </c>
      <c r="I173" s="13"/>
      <c r="J173" s="13" t="str" cm="1">
        <f t="array" ref="J173">IF($A173="","",CheckControlNumberExists($XFD$9, "Original", $A173))</f>
        <v/>
      </c>
      <c r="K173" s="34" t="str" cm="1">
        <f t="array" ref="K173">IF($A173="","",IF($J173="No","",GetMatchingValue($XFD$9,"Original","Control Number",K$2,$A173)))</f>
        <v/>
      </c>
      <c r="L173" s="34" t="str" cm="1">
        <f t="array" ref="L173">IF($A173="","",IF($J173="No","",GetMatchingValue($XFD$9,"Original","Control Number",L$2,$A173)))</f>
        <v/>
      </c>
      <c r="M173" s="13" t="str">
        <f t="shared" ca="1" si="4"/>
        <v/>
      </c>
      <c r="N173" s="16"/>
      <c r="O173" s="34" t="str" cm="1">
        <f t="array" ref="O173">IF($A173="","",IF($J173="No","",GetMatchingValue($XFD$9,"Original","Control Number",O$2,$A173)))</f>
        <v/>
      </c>
      <c r="P173" s="34" t="str" cm="1">
        <f t="array" ref="P173">IF($A173="","",IF($J173="No","",GetMatchingValue($XFD$9,"Original","Control Number",P$2,$A173)))</f>
        <v/>
      </c>
      <c r="Q173" s="34" t="str" cm="1">
        <f t="array" ref="Q173">IF($A173="","",IF($J173="No","",GetMatchingValue($XFD$9,"Original","Control Number",Q$2,$A173)))</f>
        <v/>
      </c>
      <c r="R173" s="34" t="str" cm="1">
        <f t="array" ref="R173">IF($A173="","",IF($J173="No","",GetMatchingValue($XFD$9,"Original","Control Number",R$2,$A173)))</f>
        <v/>
      </c>
      <c r="S173" s="34" t="str" cm="1">
        <f t="array" ref="S173">IF($A173="","",IF($J173="No","",GetMatchingValue($XFD$9,"Original","Control Number",S$2,$A173)))</f>
        <v/>
      </c>
      <c r="T173" s="34" t="str" cm="1">
        <f t="array" ref="T173">IF($A173="","",IF($J173="No","",GetMatchingValue($XFD$9,"Original","Control Number",T$2,$A173)))</f>
        <v/>
      </c>
      <c r="U173" s="34" t="str" cm="1">
        <f t="array" ref="U173">IF($A173="","",IF($J173="No","",GetMatchingValue($XFD$9,"Original","Control Number",U$2,$A173)))</f>
        <v/>
      </c>
      <c r="V173" s="14"/>
      <c r="W173" s="17"/>
      <c r="X173" s="17"/>
      <c r="Y173" s="17"/>
      <c r="Z173" s="13"/>
      <c r="AA173" s="13"/>
      <c r="AB173" s="13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3"/>
    </row>
    <row r="174" spans="1:45" ht="40.5" customHeight="1" x14ac:dyDescent="0.2">
      <c r="A174" s="13"/>
      <c r="B174" s="14"/>
      <c r="C174" s="15"/>
      <c r="D174" s="15"/>
      <c r="E174" s="13"/>
      <c r="F174" s="34" t="str" cm="1">
        <f t="array" ref="F174">IF($A174="","",GetMatchingValue($XFD$8,"Original","Control Number",F$2,$A174))</f>
        <v/>
      </c>
      <c r="G174" s="34" t="str" cm="1">
        <f t="array" ref="G174">IF($A174="","",GetMatchingValue($XFD$8,"Original","Control Number",G$2,$A174))</f>
        <v/>
      </c>
      <c r="H174" s="34" t="str" cm="1">
        <f t="array" ref="H174">IF($A174="","",GetMatchingValue($XFD$8,"Original","Control Number",H$2,$A174))</f>
        <v/>
      </c>
      <c r="I174" s="13"/>
      <c r="J174" s="13" t="str" cm="1">
        <f t="array" ref="J174">IF($A174="","",CheckControlNumberExists($XFD$9, "Original", $A174))</f>
        <v/>
      </c>
      <c r="K174" s="34" t="str" cm="1">
        <f t="array" ref="K174">IF($A174="","",IF($J174="No","",GetMatchingValue($XFD$9,"Original","Control Number",K$2,$A174)))</f>
        <v/>
      </c>
      <c r="L174" s="34" t="str" cm="1">
        <f t="array" ref="L174">IF($A174="","",IF($J174="No","",GetMatchingValue($XFD$9,"Original","Control Number",L$2,$A174)))</f>
        <v/>
      </c>
      <c r="M174" s="13" t="str">
        <f t="shared" ca="1" si="4"/>
        <v/>
      </c>
      <c r="N174" s="16"/>
      <c r="O174" s="34" t="str" cm="1">
        <f t="array" ref="O174">IF($A174="","",IF($J174="No","",GetMatchingValue($XFD$9,"Original","Control Number",O$2,$A174)))</f>
        <v/>
      </c>
      <c r="P174" s="34" t="str" cm="1">
        <f t="array" ref="P174">IF($A174="","",IF($J174="No","",GetMatchingValue($XFD$9,"Original","Control Number",P$2,$A174)))</f>
        <v/>
      </c>
      <c r="Q174" s="34" t="str" cm="1">
        <f t="array" ref="Q174">IF($A174="","",IF($J174="No","",GetMatchingValue($XFD$9,"Original","Control Number",Q$2,$A174)))</f>
        <v/>
      </c>
      <c r="R174" s="34" t="str" cm="1">
        <f t="array" ref="R174">IF($A174="","",IF($J174="No","",GetMatchingValue($XFD$9,"Original","Control Number",R$2,$A174)))</f>
        <v/>
      </c>
      <c r="S174" s="34" t="str" cm="1">
        <f t="array" ref="S174">IF($A174="","",IF($J174="No","",GetMatchingValue($XFD$9,"Original","Control Number",S$2,$A174)))</f>
        <v/>
      </c>
      <c r="T174" s="34" t="str" cm="1">
        <f t="array" ref="T174">IF($A174="","",IF($J174="No","",GetMatchingValue($XFD$9,"Original","Control Number",T$2,$A174)))</f>
        <v/>
      </c>
      <c r="U174" s="34" t="str" cm="1">
        <f t="array" ref="U174">IF($A174="","",IF($J174="No","",GetMatchingValue($XFD$9,"Original","Control Number",U$2,$A174)))</f>
        <v/>
      </c>
      <c r="V174" s="14"/>
      <c r="W174" s="17"/>
      <c r="X174" s="17"/>
      <c r="Y174" s="17"/>
      <c r="Z174" s="13"/>
      <c r="AA174" s="13"/>
      <c r="AB174" s="13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3"/>
    </row>
    <row r="175" spans="1:45" ht="40.5" customHeight="1" x14ac:dyDescent="0.2">
      <c r="A175" s="18"/>
      <c r="B175" s="14"/>
      <c r="C175" s="15"/>
      <c r="D175" s="15"/>
      <c r="E175" s="13"/>
      <c r="F175" s="34" t="str" cm="1">
        <f t="array" ref="F175">IF($A175="","",GetMatchingValue($XFD$8,"Original","Control Number",F$2,$A175))</f>
        <v/>
      </c>
      <c r="G175" s="34" t="str" cm="1">
        <f t="array" ref="G175">IF($A175="","",GetMatchingValue($XFD$8,"Original","Control Number",G$2,$A175))</f>
        <v/>
      </c>
      <c r="H175" s="34" t="str" cm="1">
        <f t="array" ref="H175">IF($A175="","",GetMatchingValue($XFD$8,"Original","Control Number",H$2,$A175))</f>
        <v/>
      </c>
      <c r="I175" s="13"/>
      <c r="J175" s="13" t="str" cm="1">
        <f t="array" ref="J175">IF($A175="","",CheckControlNumberExists($XFD$9, "Original", $A175))</f>
        <v/>
      </c>
      <c r="K175" s="34" t="str" cm="1">
        <f t="array" ref="K175">IF($A175="","",IF($J175="No","",GetMatchingValue($XFD$9,"Original","Control Number",K$2,$A175)))</f>
        <v/>
      </c>
      <c r="L175" s="34" t="str" cm="1">
        <f t="array" ref="L175">IF($A175="","",IF($J175="No","",GetMatchingValue($XFD$9,"Original","Control Number",L$2,$A175)))</f>
        <v/>
      </c>
      <c r="M175" s="13" t="str">
        <f t="shared" ca="1" si="4"/>
        <v/>
      </c>
      <c r="N175" s="16"/>
      <c r="O175" s="34" t="str" cm="1">
        <f t="array" ref="O175">IF($A175="","",IF($J175="No","",GetMatchingValue($XFD$9,"Original","Control Number",O$2,$A175)))</f>
        <v/>
      </c>
      <c r="P175" s="34" t="str" cm="1">
        <f t="array" ref="P175">IF($A175="","",IF($J175="No","",GetMatchingValue($XFD$9,"Original","Control Number",P$2,$A175)))</f>
        <v/>
      </c>
      <c r="Q175" s="34" t="str" cm="1">
        <f t="array" ref="Q175">IF($A175="","",IF($J175="No","",GetMatchingValue($XFD$9,"Original","Control Number",Q$2,$A175)))</f>
        <v/>
      </c>
      <c r="R175" s="34" t="str" cm="1">
        <f t="array" ref="R175">IF($A175="","",IF($J175="No","",GetMatchingValue($XFD$9,"Original","Control Number",R$2,$A175)))</f>
        <v/>
      </c>
      <c r="S175" s="34" t="str" cm="1">
        <f t="array" ref="S175">IF($A175="","",IF($J175="No","",GetMatchingValue($XFD$9,"Original","Control Number",S$2,$A175)))</f>
        <v/>
      </c>
      <c r="T175" s="34" t="str" cm="1">
        <f t="array" ref="T175">IF($A175="","",IF($J175="No","",GetMatchingValue($XFD$9,"Original","Control Number",T$2,$A175)))</f>
        <v/>
      </c>
      <c r="U175" s="34" t="str" cm="1">
        <f t="array" ref="U175">IF($A175="","",IF($J175="No","",GetMatchingValue($XFD$9,"Original","Control Number",U$2,$A175)))</f>
        <v/>
      </c>
      <c r="V175" s="14"/>
      <c r="W175" s="17"/>
      <c r="X175" s="17"/>
      <c r="Y175" s="17"/>
      <c r="Z175" s="13"/>
      <c r="AA175" s="13"/>
      <c r="AB175" s="13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3"/>
    </row>
    <row r="176" spans="1:45" ht="40.5" customHeight="1" x14ac:dyDescent="0.2">
      <c r="A176" s="13"/>
      <c r="B176" s="14"/>
      <c r="C176" s="15"/>
      <c r="D176" s="15"/>
      <c r="E176" s="13"/>
      <c r="F176" s="34" t="str" cm="1">
        <f t="array" ref="F176">IF($A176="","",GetMatchingValue($XFD$8,"Original","Control Number",F$2,$A176))</f>
        <v/>
      </c>
      <c r="G176" s="34" t="str" cm="1">
        <f t="array" ref="G176">IF($A176="","",GetMatchingValue($XFD$8,"Original","Control Number",G$2,$A176))</f>
        <v/>
      </c>
      <c r="H176" s="34" t="str" cm="1">
        <f t="array" ref="H176">IF($A176="","",GetMatchingValue($XFD$8,"Original","Control Number",H$2,$A176))</f>
        <v/>
      </c>
      <c r="I176" s="13"/>
      <c r="J176" s="13" t="str" cm="1">
        <f t="array" ref="J176">IF($A176="","",CheckControlNumberExists($XFD$9, "Original", $A176))</f>
        <v/>
      </c>
      <c r="K176" s="34" t="str" cm="1">
        <f t="array" ref="K176">IF($A176="","",IF($J176="No","",GetMatchingValue($XFD$9,"Original","Control Number",K$2,$A176)))</f>
        <v/>
      </c>
      <c r="L176" s="34" t="str" cm="1">
        <f t="array" ref="L176">IF($A176="","",IF($J176="No","",GetMatchingValue($XFD$9,"Original","Control Number",L$2,$A176)))</f>
        <v/>
      </c>
      <c r="M176" s="13" t="str">
        <f t="shared" ca="1" si="4"/>
        <v/>
      </c>
      <c r="N176" s="16"/>
      <c r="O176" s="34" t="str" cm="1">
        <f t="array" ref="O176">IF($A176="","",IF($J176="No","",GetMatchingValue($XFD$9,"Original","Control Number",O$2,$A176)))</f>
        <v/>
      </c>
      <c r="P176" s="34" t="str" cm="1">
        <f t="array" ref="P176">IF($A176="","",IF($J176="No","",GetMatchingValue($XFD$9,"Original","Control Number",P$2,$A176)))</f>
        <v/>
      </c>
      <c r="Q176" s="34" t="str" cm="1">
        <f t="array" ref="Q176">IF($A176="","",IF($J176="No","",GetMatchingValue($XFD$9,"Original","Control Number",Q$2,$A176)))</f>
        <v/>
      </c>
      <c r="R176" s="34" t="str" cm="1">
        <f t="array" ref="R176">IF($A176="","",IF($J176="No","",GetMatchingValue($XFD$9,"Original","Control Number",R$2,$A176)))</f>
        <v/>
      </c>
      <c r="S176" s="34" t="str" cm="1">
        <f t="array" ref="S176">IF($A176="","",IF($J176="No","",GetMatchingValue($XFD$9,"Original","Control Number",S$2,$A176)))</f>
        <v/>
      </c>
      <c r="T176" s="34" t="str" cm="1">
        <f t="array" ref="T176">IF($A176="","",IF($J176="No","",GetMatchingValue($XFD$9,"Original","Control Number",T$2,$A176)))</f>
        <v/>
      </c>
      <c r="U176" s="34" t="str" cm="1">
        <f t="array" ref="U176">IF($A176="","",IF($J176="No","",GetMatchingValue($XFD$9,"Original","Control Number",U$2,$A176)))</f>
        <v/>
      </c>
      <c r="V176" s="14"/>
      <c r="W176" s="17"/>
      <c r="X176" s="17"/>
      <c r="Y176" s="17"/>
      <c r="Z176" s="13"/>
      <c r="AA176" s="13"/>
      <c r="AB176" s="13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3"/>
    </row>
    <row r="177" spans="1:45" ht="40.5" customHeight="1" x14ac:dyDescent="0.2">
      <c r="A177" s="13"/>
      <c r="B177" s="14"/>
      <c r="C177" s="15"/>
      <c r="D177" s="15"/>
      <c r="E177" s="13"/>
      <c r="F177" s="34" t="str" cm="1">
        <f t="array" ref="F177">IF($A177="","",GetMatchingValue($XFD$8,"Original","Control Number",F$2,$A177))</f>
        <v/>
      </c>
      <c r="G177" s="34" t="str" cm="1">
        <f t="array" ref="G177">IF($A177="","",GetMatchingValue($XFD$8,"Original","Control Number",G$2,$A177))</f>
        <v/>
      </c>
      <c r="H177" s="34" t="str" cm="1">
        <f t="array" ref="H177">IF($A177="","",GetMatchingValue($XFD$8,"Original","Control Number",H$2,$A177))</f>
        <v/>
      </c>
      <c r="I177" s="13"/>
      <c r="J177" s="13" t="str" cm="1">
        <f t="array" ref="J177">IF($A177="","",CheckControlNumberExists($XFD$9, "Original", $A177))</f>
        <v/>
      </c>
      <c r="K177" s="34" t="str" cm="1">
        <f t="array" ref="K177">IF($A177="","",IF($J177="No","",GetMatchingValue($XFD$9,"Original","Control Number",K$2,$A177)))</f>
        <v/>
      </c>
      <c r="L177" s="34" t="str" cm="1">
        <f t="array" ref="L177">IF($A177="","",IF($J177="No","",GetMatchingValue($XFD$9,"Original","Control Number",L$2,$A177)))</f>
        <v/>
      </c>
      <c r="M177" s="13" t="str">
        <f t="shared" ca="1" si="4"/>
        <v/>
      </c>
      <c r="N177" s="16"/>
      <c r="O177" s="34" t="str" cm="1">
        <f t="array" ref="O177">IF($A177="","",IF($J177="No","",GetMatchingValue($XFD$9,"Original","Control Number",O$2,$A177)))</f>
        <v/>
      </c>
      <c r="P177" s="34" t="str" cm="1">
        <f t="array" ref="P177">IF($A177="","",IF($J177="No","",GetMatchingValue($XFD$9,"Original","Control Number",P$2,$A177)))</f>
        <v/>
      </c>
      <c r="Q177" s="34" t="str" cm="1">
        <f t="array" ref="Q177">IF($A177="","",IF($J177="No","",GetMatchingValue($XFD$9,"Original","Control Number",Q$2,$A177)))</f>
        <v/>
      </c>
      <c r="R177" s="34" t="str" cm="1">
        <f t="array" ref="R177">IF($A177="","",IF($J177="No","",GetMatchingValue($XFD$9,"Original","Control Number",R$2,$A177)))</f>
        <v/>
      </c>
      <c r="S177" s="34" t="str" cm="1">
        <f t="array" ref="S177">IF($A177="","",IF($J177="No","",GetMatchingValue($XFD$9,"Original","Control Number",S$2,$A177)))</f>
        <v/>
      </c>
      <c r="T177" s="34" t="str" cm="1">
        <f t="array" ref="T177">IF($A177="","",IF($J177="No","",GetMatchingValue($XFD$9,"Original","Control Number",T$2,$A177)))</f>
        <v/>
      </c>
      <c r="U177" s="34" t="str" cm="1">
        <f t="array" ref="U177">IF($A177="","",IF($J177="No","",GetMatchingValue($XFD$9,"Original","Control Number",U$2,$A177)))</f>
        <v/>
      </c>
      <c r="V177" s="14"/>
      <c r="W177" s="17"/>
      <c r="X177" s="17"/>
      <c r="Y177" s="17"/>
      <c r="Z177" s="13"/>
      <c r="AA177" s="13"/>
      <c r="AB177" s="13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3"/>
    </row>
    <row r="178" spans="1:45" ht="40.5" customHeight="1" x14ac:dyDescent="0.2">
      <c r="A178" s="13"/>
      <c r="B178" s="14"/>
      <c r="C178" s="15"/>
      <c r="D178" s="15"/>
      <c r="E178" s="13"/>
      <c r="F178" s="34" t="str" cm="1">
        <f t="array" ref="F178">IF($A178="","",GetMatchingValue($XFD$8,"Original","Control Number",F$2,$A178))</f>
        <v/>
      </c>
      <c r="G178" s="34" t="str" cm="1">
        <f t="array" ref="G178">IF($A178="","",GetMatchingValue($XFD$8,"Original","Control Number",G$2,$A178))</f>
        <v/>
      </c>
      <c r="H178" s="34" t="str" cm="1">
        <f t="array" ref="H178">IF($A178="","",GetMatchingValue($XFD$8,"Original","Control Number",H$2,$A178))</f>
        <v/>
      </c>
      <c r="I178" s="13"/>
      <c r="J178" s="13" t="str" cm="1">
        <f t="array" ref="J178">IF($A178="","",CheckControlNumberExists($XFD$9, "Original", $A178))</f>
        <v/>
      </c>
      <c r="K178" s="34" t="str" cm="1">
        <f t="array" ref="K178">IF($A178="","",IF($J178="No","",GetMatchingValue($XFD$9,"Original","Control Number",K$2,$A178)))</f>
        <v/>
      </c>
      <c r="L178" s="34" t="str" cm="1">
        <f t="array" ref="L178">IF($A178="","",IF($J178="No","",GetMatchingValue($XFD$9,"Original","Control Number",L$2,$A178)))</f>
        <v/>
      </c>
      <c r="M178" s="13" t="str">
        <f t="shared" ca="1" si="4"/>
        <v/>
      </c>
      <c r="N178" s="16"/>
      <c r="O178" s="34" t="str" cm="1">
        <f t="array" ref="O178">IF($A178="","",IF($J178="No","",GetMatchingValue($XFD$9,"Original","Control Number",O$2,$A178)))</f>
        <v/>
      </c>
      <c r="P178" s="34" t="str" cm="1">
        <f t="array" ref="P178">IF($A178="","",IF($J178="No","",GetMatchingValue($XFD$9,"Original","Control Number",P$2,$A178)))</f>
        <v/>
      </c>
      <c r="Q178" s="34" t="str" cm="1">
        <f t="array" ref="Q178">IF($A178="","",IF($J178="No","",GetMatchingValue($XFD$9,"Original","Control Number",Q$2,$A178)))</f>
        <v/>
      </c>
      <c r="R178" s="34" t="str" cm="1">
        <f t="array" ref="R178">IF($A178="","",IF($J178="No","",GetMatchingValue($XFD$9,"Original","Control Number",R$2,$A178)))</f>
        <v/>
      </c>
      <c r="S178" s="34" t="str" cm="1">
        <f t="array" ref="S178">IF($A178="","",IF($J178="No","",GetMatchingValue($XFD$9,"Original","Control Number",S$2,$A178)))</f>
        <v/>
      </c>
      <c r="T178" s="34" t="str" cm="1">
        <f t="array" ref="T178">IF($A178="","",IF($J178="No","",GetMatchingValue($XFD$9,"Original","Control Number",T$2,$A178)))</f>
        <v/>
      </c>
      <c r="U178" s="34" t="str" cm="1">
        <f t="array" ref="U178">IF($A178="","",IF($J178="No","",GetMatchingValue($XFD$9,"Original","Control Number",U$2,$A178)))</f>
        <v/>
      </c>
      <c r="V178" s="14"/>
      <c r="W178" s="17"/>
      <c r="X178" s="17"/>
      <c r="Y178" s="17"/>
      <c r="Z178" s="13"/>
      <c r="AA178" s="13"/>
      <c r="AB178" s="13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3"/>
    </row>
    <row r="179" spans="1:45" ht="40.5" customHeight="1" x14ac:dyDescent="0.2">
      <c r="A179" s="13"/>
      <c r="B179" s="14"/>
      <c r="C179" s="15"/>
      <c r="D179" s="15"/>
      <c r="E179" s="13"/>
      <c r="F179" s="34" t="str" cm="1">
        <f t="array" ref="F179">IF($A179="","",GetMatchingValue($XFD$8,"Original","Control Number",F$2,$A179))</f>
        <v/>
      </c>
      <c r="G179" s="34" t="str" cm="1">
        <f t="array" ref="G179">IF($A179="","",GetMatchingValue($XFD$8,"Original","Control Number",G$2,$A179))</f>
        <v/>
      </c>
      <c r="H179" s="34" t="str" cm="1">
        <f t="array" ref="H179">IF($A179="","",GetMatchingValue($XFD$8,"Original","Control Number",H$2,$A179))</f>
        <v/>
      </c>
      <c r="I179" s="13"/>
      <c r="J179" s="13" t="str" cm="1">
        <f t="array" ref="J179">IF($A179="","",CheckControlNumberExists($XFD$9, "Original", $A179))</f>
        <v/>
      </c>
      <c r="K179" s="34" t="str" cm="1">
        <f t="array" ref="K179">IF($A179="","",IF($J179="No","",GetMatchingValue($XFD$9,"Original","Control Number",K$2,$A179)))</f>
        <v/>
      </c>
      <c r="L179" s="34" t="str" cm="1">
        <f t="array" ref="L179">IF($A179="","",IF($J179="No","",GetMatchingValue($XFD$9,"Original","Control Number",L$2,$A179)))</f>
        <v/>
      </c>
      <c r="M179" s="13" t="str">
        <f t="shared" ca="1" si="4"/>
        <v/>
      </c>
      <c r="N179" s="16"/>
      <c r="O179" s="34" t="str" cm="1">
        <f t="array" ref="O179">IF($A179="","",IF($J179="No","",GetMatchingValue($XFD$9,"Original","Control Number",O$2,$A179)))</f>
        <v/>
      </c>
      <c r="P179" s="34" t="str" cm="1">
        <f t="array" ref="P179">IF($A179="","",IF($J179="No","",GetMatchingValue($XFD$9,"Original","Control Number",P$2,$A179)))</f>
        <v/>
      </c>
      <c r="Q179" s="34" t="str" cm="1">
        <f t="array" ref="Q179">IF($A179="","",IF($J179="No","",GetMatchingValue($XFD$9,"Original","Control Number",Q$2,$A179)))</f>
        <v/>
      </c>
      <c r="R179" s="34" t="str" cm="1">
        <f t="array" ref="R179">IF($A179="","",IF($J179="No","",GetMatchingValue($XFD$9,"Original","Control Number",R$2,$A179)))</f>
        <v/>
      </c>
      <c r="S179" s="34" t="str" cm="1">
        <f t="array" ref="S179">IF($A179="","",IF($J179="No","",GetMatchingValue($XFD$9,"Original","Control Number",S$2,$A179)))</f>
        <v/>
      </c>
      <c r="T179" s="34" t="str" cm="1">
        <f t="array" ref="T179">IF($A179="","",IF($J179="No","",GetMatchingValue($XFD$9,"Original","Control Number",T$2,$A179)))</f>
        <v/>
      </c>
      <c r="U179" s="34" t="str" cm="1">
        <f t="array" ref="U179">IF($A179="","",IF($J179="No","",GetMatchingValue($XFD$9,"Original","Control Number",U$2,$A179)))</f>
        <v/>
      </c>
      <c r="V179" s="14"/>
      <c r="W179" s="17"/>
      <c r="X179" s="17"/>
      <c r="Y179" s="17"/>
      <c r="Z179" s="13"/>
      <c r="AA179" s="13"/>
      <c r="AB179" s="13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3"/>
    </row>
    <row r="180" spans="1:45" ht="40.5" customHeight="1" x14ac:dyDescent="0.2">
      <c r="A180" s="13"/>
      <c r="B180" s="14"/>
      <c r="C180" s="15"/>
      <c r="D180" s="15"/>
      <c r="E180" s="13"/>
      <c r="F180" s="34" t="str" cm="1">
        <f t="array" ref="F180">IF($A180="","",GetMatchingValue($XFD$8,"Original","Control Number",F$2,$A180))</f>
        <v/>
      </c>
      <c r="G180" s="34" t="str" cm="1">
        <f t="array" ref="G180">IF($A180="","",GetMatchingValue($XFD$8,"Original","Control Number",G$2,$A180))</f>
        <v/>
      </c>
      <c r="H180" s="34" t="str" cm="1">
        <f t="array" ref="H180">IF($A180="","",GetMatchingValue($XFD$8,"Original","Control Number",H$2,$A180))</f>
        <v/>
      </c>
      <c r="I180" s="13"/>
      <c r="J180" s="13" t="str" cm="1">
        <f t="array" ref="J180">IF($A180="","",CheckControlNumberExists($XFD$9, "Original", $A180))</f>
        <v/>
      </c>
      <c r="K180" s="34" t="str" cm="1">
        <f t="array" ref="K180">IF($A180="","",IF($J180="No","",GetMatchingValue($XFD$9,"Original","Control Number",K$2,$A180)))</f>
        <v/>
      </c>
      <c r="L180" s="34" t="str" cm="1">
        <f t="array" ref="L180">IF($A180="","",IF($J180="No","",GetMatchingValue($XFD$9,"Original","Control Number",L$2,$A180)))</f>
        <v/>
      </c>
      <c r="M180" s="13" t="str">
        <f t="shared" ca="1" si="4"/>
        <v/>
      </c>
      <c r="N180" s="16"/>
      <c r="O180" s="34" t="str" cm="1">
        <f t="array" ref="O180">IF($A180="","",IF($J180="No","",GetMatchingValue($XFD$9,"Original","Control Number",O$2,$A180)))</f>
        <v/>
      </c>
      <c r="P180" s="34" t="str" cm="1">
        <f t="array" ref="P180">IF($A180="","",IF($J180="No","",GetMatchingValue($XFD$9,"Original","Control Number",P$2,$A180)))</f>
        <v/>
      </c>
      <c r="Q180" s="34" t="str" cm="1">
        <f t="array" ref="Q180">IF($A180="","",IF($J180="No","",GetMatchingValue($XFD$9,"Original","Control Number",Q$2,$A180)))</f>
        <v/>
      </c>
      <c r="R180" s="34" t="str" cm="1">
        <f t="array" ref="R180">IF($A180="","",IF($J180="No","",GetMatchingValue($XFD$9,"Original","Control Number",R$2,$A180)))</f>
        <v/>
      </c>
      <c r="S180" s="34" t="str" cm="1">
        <f t="array" ref="S180">IF($A180="","",IF($J180="No","",GetMatchingValue($XFD$9,"Original","Control Number",S$2,$A180)))</f>
        <v/>
      </c>
      <c r="T180" s="34" t="str" cm="1">
        <f t="array" ref="T180">IF($A180="","",IF($J180="No","",GetMatchingValue($XFD$9,"Original","Control Number",T$2,$A180)))</f>
        <v/>
      </c>
      <c r="U180" s="34" t="str" cm="1">
        <f t="array" ref="U180">IF($A180="","",IF($J180="No","",GetMatchingValue($XFD$9,"Original","Control Number",U$2,$A180)))</f>
        <v/>
      </c>
      <c r="V180" s="14"/>
      <c r="W180" s="17"/>
      <c r="X180" s="17"/>
      <c r="Y180" s="17"/>
      <c r="Z180" s="13"/>
      <c r="AA180" s="13"/>
      <c r="AB180" s="13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3"/>
    </row>
    <row r="181" spans="1:45" ht="40.5" customHeight="1" x14ac:dyDescent="0.2">
      <c r="A181" s="13"/>
      <c r="B181" s="14"/>
      <c r="C181" s="15"/>
      <c r="D181" s="15"/>
      <c r="E181" s="13"/>
      <c r="F181" s="34" t="str" cm="1">
        <f t="array" ref="F181">IF($A181="","",GetMatchingValue($XFD$8,"Original","Control Number",F$2,$A181))</f>
        <v/>
      </c>
      <c r="G181" s="34" t="str" cm="1">
        <f t="array" ref="G181">IF($A181="","",GetMatchingValue($XFD$8,"Original","Control Number",G$2,$A181))</f>
        <v/>
      </c>
      <c r="H181" s="34" t="str" cm="1">
        <f t="array" ref="H181">IF($A181="","",GetMatchingValue($XFD$8,"Original","Control Number",H$2,$A181))</f>
        <v/>
      </c>
      <c r="I181" s="13"/>
      <c r="J181" s="13" t="str" cm="1">
        <f t="array" ref="J181">IF($A181="","",CheckControlNumberExists($XFD$9, "Original", $A181))</f>
        <v/>
      </c>
      <c r="K181" s="34" t="str" cm="1">
        <f t="array" ref="K181">IF($A181="","",IF($J181="No","",GetMatchingValue($XFD$9,"Original","Control Number",K$2,$A181)))</f>
        <v/>
      </c>
      <c r="L181" s="34" t="str" cm="1">
        <f t="array" ref="L181">IF($A181="","",IF($J181="No","",GetMatchingValue($XFD$9,"Original","Control Number",L$2,$A181)))</f>
        <v/>
      </c>
      <c r="M181" s="13" t="str">
        <f t="shared" ca="1" si="4"/>
        <v/>
      </c>
      <c r="N181" s="16"/>
      <c r="O181" s="34" t="str" cm="1">
        <f t="array" ref="O181">IF($A181="","",IF($J181="No","",GetMatchingValue($XFD$9,"Original","Control Number",O$2,$A181)))</f>
        <v/>
      </c>
      <c r="P181" s="34" t="str" cm="1">
        <f t="array" ref="P181">IF($A181="","",IF($J181="No","",GetMatchingValue($XFD$9,"Original","Control Number",P$2,$A181)))</f>
        <v/>
      </c>
      <c r="Q181" s="34" t="str" cm="1">
        <f t="array" ref="Q181">IF($A181="","",IF($J181="No","",GetMatchingValue($XFD$9,"Original","Control Number",Q$2,$A181)))</f>
        <v/>
      </c>
      <c r="R181" s="34" t="str" cm="1">
        <f t="array" ref="R181">IF($A181="","",IF($J181="No","",GetMatchingValue($XFD$9,"Original","Control Number",R$2,$A181)))</f>
        <v/>
      </c>
      <c r="S181" s="34" t="str" cm="1">
        <f t="array" ref="S181">IF($A181="","",IF($J181="No","",GetMatchingValue($XFD$9,"Original","Control Number",S$2,$A181)))</f>
        <v/>
      </c>
      <c r="T181" s="34" t="str" cm="1">
        <f t="array" ref="T181">IF($A181="","",IF($J181="No","",GetMatchingValue($XFD$9,"Original","Control Number",T$2,$A181)))</f>
        <v/>
      </c>
      <c r="U181" s="34" t="str" cm="1">
        <f t="array" ref="U181">IF($A181="","",IF($J181="No","",GetMatchingValue($XFD$9,"Original","Control Number",U$2,$A181)))</f>
        <v/>
      </c>
      <c r="V181" s="14"/>
      <c r="W181" s="17"/>
      <c r="X181" s="17"/>
      <c r="Y181" s="17"/>
      <c r="Z181" s="13"/>
      <c r="AA181" s="13"/>
      <c r="AB181" s="13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3"/>
    </row>
    <row r="182" spans="1:45" ht="40.5" customHeight="1" x14ac:dyDescent="0.2">
      <c r="A182" s="13"/>
      <c r="B182" s="14"/>
      <c r="C182" s="15"/>
      <c r="D182" s="15"/>
      <c r="E182" s="13"/>
      <c r="F182" s="34" t="str" cm="1">
        <f t="array" ref="F182">IF($A182="","",GetMatchingValue($XFD$8,"Original","Control Number",F$2,$A182))</f>
        <v/>
      </c>
      <c r="G182" s="34" t="str" cm="1">
        <f t="array" ref="G182">IF($A182="","",GetMatchingValue($XFD$8,"Original","Control Number",G$2,$A182))</f>
        <v/>
      </c>
      <c r="H182" s="34" t="str" cm="1">
        <f t="array" ref="H182">IF($A182="","",GetMatchingValue($XFD$8,"Original","Control Number",H$2,$A182))</f>
        <v/>
      </c>
      <c r="I182" s="13"/>
      <c r="J182" s="13" t="str" cm="1">
        <f t="array" ref="J182">IF($A182="","",CheckControlNumberExists($XFD$9, "Original", $A182))</f>
        <v/>
      </c>
      <c r="K182" s="34" t="str" cm="1">
        <f t="array" ref="K182">IF($A182="","",IF($J182="No","",GetMatchingValue($XFD$9,"Original","Control Number",K$2,$A182)))</f>
        <v/>
      </c>
      <c r="L182" s="34" t="str" cm="1">
        <f t="array" ref="L182">IF($A182="","",IF($J182="No","",GetMatchingValue($XFD$9,"Original","Control Number",L$2,$A182)))</f>
        <v/>
      </c>
      <c r="M182" s="13" t="str">
        <f t="shared" ca="1" si="4"/>
        <v/>
      </c>
      <c r="N182" s="16"/>
      <c r="O182" s="34" t="str" cm="1">
        <f t="array" ref="O182">IF($A182="","",IF($J182="No","",GetMatchingValue($XFD$9,"Original","Control Number",O$2,$A182)))</f>
        <v/>
      </c>
      <c r="P182" s="34" t="str" cm="1">
        <f t="array" ref="P182">IF($A182="","",IF($J182="No","",GetMatchingValue($XFD$9,"Original","Control Number",P$2,$A182)))</f>
        <v/>
      </c>
      <c r="Q182" s="34" t="str" cm="1">
        <f t="array" ref="Q182">IF($A182="","",IF($J182="No","",GetMatchingValue($XFD$9,"Original","Control Number",Q$2,$A182)))</f>
        <v/>
      </c>
      <c r="R182" s="34" t="str" cm="1">
        <f t="array" ref="R182">IF($A182="","",IF($J182="No","",GetMatchingValue($XFD$9,"Original","Control Number",R$2,$A182)))</f>
        <v/>
      </c>
      <c r="S182" s="34" t="str" cm="1">
        <f t="array" ref="S182">IF($A182="","",IF($J182="No","",GetMatchingValue($XFD$9,"Original","Control Number",S$2,$A182)))</f>
        <v/>
      </c>
      <c r="T182" s="34" t="str" cm="1">
        <f t="array" ref="T182">IF($A182="","",IF($J182="No","",GetMatchingValue($XFD$9,"Original","Control Number",T$2,$A182)))</f>
        <v/>
      </c>
      <c r="U182" s="34" t="str" cm="1">
        <f t="array" ref="U182">IF($A182="","",IF($J182="No","",GetMatchingValue($XFD$9,"Original","Control Number",U$2,$A182)))</f>
        <v/>
      </c>
      <c r="V182" s="14"/>
      <c r="W182" s="17"/>
      <c r="X182" s="17"/>
      <c r="Y182" s="17"/>
      <c r="Z182" s="13"/>
      <c r="AA182" s="13"/>
      <c r="AB182" s="13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3"/>
    </row>
    <row r="183" spans="1:45" ht="40.5" customHeight="1" x14ac:dyDescent="0.2">
      <c r="A183" s="13"/>
      <c r="B183" s="14"/>
      <c r="C183" s="15"/>
      <c r="D183" s="15"/>
      <c r="E183" s="13"/>
      <c r="F183" s="34" t="str" cm="1">
        <f t="array" ref="F183">IF($A183="","",GetMatchingValue($XFD$8,"Original","Control Number",F$2,$A183))</f>
        <v/>
      </c>
      <c r="G183" s="34" t="str" cm="1">
        <f t="array" ref="G183">IF($A183="","",GetMatchingValue($XFD$8,"Original","Control Number",G$2,$A183))</f>
        <v/>
      </c>
      <c r="H183" s="34" t="str" cm="1">
        <f t="array" ref="H183">IF($A183="","",GetMatchingValue($XFD$8,"Original","Control Number",H$2,$A183))</f>
        <v/>
      </c>
      <c r="I183" s="13"/>
      <c r="J183" s="13" t="str" cm="1">
        <f t="array" ref="J183">IF($A183="","",CheckControlNumberExists($XFD$9, "Original", $A183))</f>
        <v/>
      </c>
      <c r="K183" s="34" t="str" cm="1">
        <f t="array" ref="K183">IF($A183="","",IF($J183="No","",GetMatchingValue($XFD$9,"Original","Control Number",K$2,$A183)))</f>
        <v/>
      </c>
      <c r="L183" s="34" t="str" cm="1">
        <f t="array" ref="L183">IF($A183="","",IF($J183="No","",GetMatchingValue($XFD$9,"Original","Control Number",L$2,$A183)))</f>
        <v/>
      </c>
      <c r="M183" s="13" t="str">
        <f t="shared" ca="1" si="4"/>
        <v/>
      </c>
      <c r="N183" s="16"/>
      <c r="O183" s="34" t="str" cm="1">
        <f t="array" ref="O183">IF($A183="","",IF($J183="No","",GetMatchingValue($XFD$9,"Original","Control Number",O$2,$A183)))</f>
        <v/>
      </c>
      <c r="P183" s="34" t="str" cm="1">
        <f t="array" ref="P183">IF($A183="","",IF($J183="No","",GetMatchingValue($XFD$9,"Original","Control Number",P$2,$A183)))</f>
        <v/>
      </c>
      <c r="Q183" s="34" t="str" cm="1">
        <f t="array" ref="Q183">IF($A183="","",IF($J183="No","",GetMatchingValue($XFD$9,"Original","Control Number",Q$2,$A183)))</f>
        <v/>
      </c>
      <c r="R183" s="34" t="str" cm="1">
        <f t="array" ref="R183">IF($A183="","",IF($J183="No","",GetMatchingValue($XFD$9,"Original","Control Number",R$2,$A183)))</f>
        <v/>
      </c>
      <c r="S183" s="34" t="str" cm="1">
        <f t="array" ref="S183">IF($A183="","",IF($J183="No","",GetMatchingValue($XFD$9,"Original","Control Number",S$2,$A183)))</f>
        <v/>
      </c>
      <c r="T183" s="34" t="str" cm="1">
        <f t="array" ref="T183">IF($A183="","",IF($J183="No","",GetMatchingValue($XFD$9,"Original","Control Number",T$2,$A183)))</f>
        <v/>
      </c>
      <c r="U183" s="34" t="str" cm="1">
        <f t="array" ref="U183">IF($A183="","",IF($J183="No","",GetMatchingValue($XFD$9,"Original","Control Number",U$2,$A183)))</f>
        <v/>
      </c>
      <c r="V183" s="14"/>
      <c r="W183" s="17"/>
      <c r="X183" s="17"/>
      <c r="Y183" s="17"/>
      <c r="Z183" s="13"/>
      <c r="AA183" s="13"/>
      <c r="AB183" s="13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3"/>
    </row>
    <row r="184" spans="1:45" ht="40.5" customHeight="1" x14ac:dyDescent="0.2">
      <c r="A184" s="13"/>
      <c r="B184" s="14"/>
      <c r="C184" s="15"/>
      <c r="D184" s="15"/>
      <c r="E184" s="13"/>
      <c r="F184" s="34" t="str" cm="1">
        <f t="array" ref="F184">IF($A184="","",GetMatchingValue($XFD$8,"Original","Control Number",F$2,$A184))</f>
        <v/>
      </c>
      <c r="G184" s="34" t="str" cm="1">
        <f t="array" ref="G184">IF($A184="","",GetMatchingValue($XFD$8,"Original","Control Number",G$2,$A184))</f>
        <v/>
      </c>
      <c r="H184" s="34" t="str" cm="1">
        <f t="array" ref="H184">IF($A184="","",GetMatchingValue($XFD$8,"Original","Control Number",H$2,$A184))</f>
        <v/>
      </c>
      <c r="I184" s="13"/>
      <c r="J184" s="13" t="str" cm="1">
        <f t="array" ref="J184">IF($A184="","",CheckControlNumberExists($XFD$9, "Original", $A184))</f>
        <v/>
      </c>
      <c r="K184" s="34" t="str" cm="1">
        <f t="array" ref="K184">IF($A184="","",IF($J184="No","",GetMatchingValue($XFD$9,"Original","Control Number",K$2,$A184)))</f>
        <v/>
      </c>
      <c r="L184" s="34" t="str" cm="1">
        <f t="array" ref="L184">IF($A184="","",IF($J184="No","",GetMatchingValue($XFD$9,"Original","Control Number",L$2,$A184)))</f>
        <v/>
      </c>
      <c r="M184" s="13" t="str">
        <f t="shared" ca="1" si="4"/>
        <v/>
      </c>
      <c r="N184" s="16"/>
      <c r="O184" s="34" t="str" cm="1">
        <f t="array" ref="O184">IF($A184="","",IF($J184="No","",GetMatchingValue($XFD$9,"Original","Control Number",O$2,$A184)))</f>
        <v/>
      </c>
      <c r="P184" s="34" t="str" cm="1">
        <f t="array" ref="P184">IF($A184="","",IF($J184="No","",GetMatchingValue($XFD$9,"Original","Control Number",P$2,$A184)))</f>
        <v/>
      </c>
      <c r="Q184" s="34" t="str" cm="1">
        <f t="array" ref="Q184">IF($A184="","",IF($J184="No","",GetMatchingValue($XFD$9,"Original","Control Number",Q$2,$A184)))</f>
        <v/>
      </c>
      <c r="R184" s="34" t="str" cm="1">
        <f t="array" ref="R184">IF($A184="","",IF($J184="No","",GetMatchingValue($XFD$9,"Original","Control Number",R$2,$A184)))</f>
        <v/>
      </c>
      <c r="S184" s="34" t="str" cm="1">
        <f t="array" ref="S184">IF($A184="","",IF($J184="No","",GetMatchingValue($XFD$9,"Original","Control Number",S$2,$A184)))</f>
        <v/>
      </c>
      <c r="T184" s="34" t="str" cm="1">
        <f t="array" ref="T184">IF($A184="","",IF($J184="No","",GetMatchingValue($XFD$9,"Original","Control Number",T$2,$A184)))</f>
        <v/>
      </c>
      <c r="U184" s="34" t="str" cm="1">
        <f t="array" ref="U184">IF($A184="","",IF($J184="No","",GetMatchingValue($XFD$9,"Original","Control Number",U$2,$A184)))</f>
        <v/>
      </c>
      <c r="V184" s="14"/>
      <c r="W184" s="17"/>
      <c r="X184" s="17"/>
      <c r="Y184" s="17"/>
      <c r="Z184" s="13"/>
      <c r="AA184" s="13"/>
      <c r="AB184" s="13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3"/>
    </row>
    <row r="185" spans="1:45" ht="40.5" customHeight="1" x14ac:dyDescent="0.2">
      <c r="A185" s="13"/>
      <c r="B185" s="14"/>
      <c r="C185" s="15"/>
      <c r="D185" s="15"/>
      <c r="E185" s="13"/>
      <c r="F185" s="34" t="str" cm="1">
        <f t="array" ref="F185">IF($A185="","",GetMatchingValue($XFD$8,"Original","Control Number",F$2,$A185))</f>
        <v/>
      </c>
      <c r="G185" s="34" t="str" cm="1">
        <f t="array" ref="G185">IF($A185="","",GetMatchingValue($XFD$8,"Original","Control Number",G$2,$A185))</f>
        <v/>
      </c>
      <c r="H185" s="34" t="str" cm="1">
        <f t="array" ref="H185">IF($A185="","",GetMatchingValue($XFD$8,"Original","Control Number",H$2,$A185))</f>
        <v/>
      </c>
      <c r="I185" s="13"/>
      <c r="J185" s="13" t="str" cm="1">
        <f t="array" ref="J185">IF($A185="","",CheckControlNumberExists($XFD$9, "Original", $A185))</f>
        <v/>
      </c>
      <c r="K185" s="34" t="str" cm="1">
        <f t="array" ref="K185">IF($A185="","",IF($J185="No","",GetMatchingValue($XFD$9,"Original","Control Number",K$2,$A185)))</f>
        <v/>
      </c>
      <c r="L185" s="34" t="str" cm="1">
        <f t="array" ref="L185">IF($A185="","",IF($J185="No","",GetMatchingValue($XFD$9,"Original","Control Number",L$2,$A185)))</f>
        <v/>
      </c>
      <c r="M185" s="13" t="str">
        <f t="shared" ca="1" si="4"/>
        <v/>
      </c>
      <c r="N185" s="16"/>
      <c r="O185" s="34" t="str" cm="1">
        <f t="array" ref="O185">IF($A185="","",IF($J185="No","",GetMatchingValue($XFD$9,"Original","Control Number",O$2,$A185)))</f>
        <v/>
      </c>
      <c r="P185" s="34" t="str" cm="1">
        <f t="array" ref="P185">IF($A185="","",IF($J185="No","",GetMatchingValue($XFD$9,"Original","Control Number",P$2,$A185)))</f>
        <v/>
      </c>
      <c r="Q185" s="34" t="str" cm="1">
        <f t="array" ref="Q185">IF($A185="","",IF($J185="No","",GetMatchingValue($XFD$9,"Original","Control Number",Q$2,$A185)))</f>
        <v/>
      </c>
      <c r="R185" s="34" t="str" cm="1">
        <f t="array" ref="R185">IF($A185="","",IF($J185="No","",GetMatchingValue($XFD$9,"Original","Control Number",R$2,$A185)))</f>
        <v/>
      </c>
      <c r="S185" s="34" t="str" cm="1">
        <f t="array" ref="S185">IF($A185="","",IF($J185="No","",GetMatchingValue($XFD$9,"Original","Control Number",S$2,$A185)))</f>
        <v/>
      </c>
      <c r="T185" s="34" t="str" cm="1">
        <f t="array" ref="T185">IF($A185="","",IF($J185="No","",GetMatchingValue($XFD$9,"Original","Control Number",T$2,$A185)))</f>
        <v/>
      </c>
      <c r="U185" s="34" t="str" cm="1">
        <f t="array" ref="U185">IF($A185="","",IF($J185="No","",GetMatchingValue($XFD$9,"Original","Control Number",U$2,$A185)))</f>
        <v/>
      </c>
      <c r="V185" s="14"/>
      <c r="W185" s="17"/>
      <c r="X185" s="17"/>
      <c r="Y185" s="17"/>
      <c r="Z185" s="13"/>
      <c r="AA185" s="13"/>
      <c r="AB185" s="13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3"/>
    </row>
    <row r="186" spans="1:45" ht="40.5" customHeight="1" x14ac:dyDescent="0.2">
      <c r="A186" s="13"/>
      <c r="B186" s="14"/>
      <c r="C186" s="15"/>
      <c r="D186" s="15"/>
      <c r="E186" s="13"/>
      <c r="F186" s="34" t="str" cm="1">
        <f t="array" ref="F186">IF($A186="","",GetMatchingValue($XFD$8,"Original","Control Number",F$2,$A186))</f>
        <v/>
      </c>
      <c r="G186" s="34" t="str" cm="1">
        <f t="array" ref="G186">IF($A186="","",GetMatchingValue($XFD$8,"Original","Control Number",G$2,$A186))</f>
        <v/>
      </c>
      <c r="H186" s="34" t="str" cm="1">
        <f t="array" ref="H186">IF($A186="","",GetMatchingValue($XFD$8,"Original","Control Number",H$2,$A186))</f>
        <v/>
      </c>
      <c r="I186" s="13"/>
      <c r="J186" s="13" t="str" cm="1">
        <f t="array" ref="J186">IF($A186="","",CheckControlNumberExists($XFD$9, "Original", $A186))</f>
        <v/>
      </c>
      <c r="K186" s="34" t="str" cm="1">
        <f t="array" ref="K186">IF($A186="","",IF($J186="No","",GetMatchingValue($XFD$9,"Original","Control Number",K$2,$A186)))</f>
        <v/>
      </c>
      <c r="L186" s="34" t="str" cm="1">
        <f t="array" ref="L186">IF($A186="","",IF($J186="No","",GetMatchingValue($XFD$9,"Original","Control Number",L$2,$A186)))</f>
        <v/>
      </c>
      <c r="M186" s="13" t="str">
        <f t="shared" ca="1" si="4"/>
        <v/>
      </c>
      <c r="N186" s="16"/>
      <c r="O186" s="34" t="str" cm="1">
        <f t="array" ref="O186">IF($A186="","",IF($J186="No","",GetMatchingValue($XFD$9,"Original","Control Number",O$2,$A186)))</f>
        <v/>
      </c>
      <c r="P186" s="34" t="str" cm="1">
        <f t="array" ref="P186">IF($A186="","",IF($J186="No","",GetMatchingValue($XFD$9,"Original","Control Number",P$2,$A186)))</f>
        <v/>
      </c>
      <c r="Q186" s="34" t="str" cm="1">
        <f t="array" ref="Q186">IF($A186="","",IF($J186="No","",GetMatchingValue($XFD$9,"Original","Control Number",Q$2,$A186)))</f>
        <v/>
      </c>
      <c r="R186" s="34" t="str" cm="1">
        <f t="array" ref="R186">IF($A186="","",IF($J186="No","",GetMatchingValue($XFD$9,"Original","Control Number",R$2,$A186)))</f>
        <v/>
      </c>
      <c r="S186" s="34" t="str" cm="1">
        <f t="array" ref="S186">IF($A186="","",IF($J186="No","",GetMatchingValue($XFD$9,"Original","Control Number",S$2,$A186)))</f>
        <v/>
      </c>
      <c r="T186" s="34" t="str" cm="1">
        <f t="array" ref="T186">IF($A186="","",IF($J186="No","",GetMatchingValue($XFD$9,"Original","Control Number",T$2,$A186)))</f>
        <v/>
      </c>
      <c r="U186" s="34" t="str" cm="1">
        <f t="array" ref="U186">IF($A186="","",IF($J186="No","",GetMatchingValue($XFD$9,"Original","Control Number",U$2,$A186)))</f>
        <v/>
      </c>
      <c r="V186" s="14"/>
      <c r="W186" s="17"/>
      <c r="X186" s="17"/>
      <c r="Y186" s="17"/>
      <c r="Z186" s="13"/>
      <c r="AA186" s="13"/>
      <c r="AB186" s="13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3"/>
    </row>
    <row r="187" spans="1:45" ht="40.5" customHeight="1" x14ac:dyDescent="0.2">
      <c r="A187" s="18"/>
      <c r="B187" s="14"/>
      <c r="C187" s="15"/>
      <c r="D187" s="15"/>
      <c r="E187" s="13"/>
      <c r="F187" s="34" t="str" cm="1">
        <f t="array" ref="F187">IF($A187="","",GetMatchingValue($XFD$8,"Original","Control Number",F$2,$A187))</f>
        <v/>
      </c>
      <c r="G187" s="34" t="str" cm="1">
        <f t="array" ref="G187">IF($A187="","",GetMatchingValue($XFD$8,"Original","Control Number",G$2,$A187))</f>
        <v/>
      </c>
      <c r="H187" s="34" t="str" cm="1">
        <f t="array" ref="H187">IF($A187="","",GetMatchingValue($XFD$8,"Original","Control Number",H$2,$A187))</f>
        <v/>
      </c>
      <c r="I187" s="13"/>
      <c r="J187" s="13" t="str" cm="1">
        <f t="array" ref="J187">IF($A187="","",CheckControlNumberExists($XFD$9, "Original", $A187))</f>
        <v/>
      </c>
      <c r="K187" s="34" t="str" cm="1">
        <f t="array" ref="K187">IF($A187="","",IF($J187="No","",GetMatchingValue($XFD$9,"Original","Control Number",K$2,$A187)))</f>
        <v/>
      </c>
      <c r="L187" s="34" t="str" cm="1">
        <f t="array" ref="L187">IF($A187="","",IF($J187="No","",GetMatchingValue($XFD$9,"Original","Control Number",L$2,$A187)))</f>
        <v/>
      </c>
      <c r="M187" s="13" t="str">
        <f t="shared" ca="1" si="4"/>
        <v/>
      </c>
      <c r="N187" s="16"/>
      <c r="O187" s="34" t="str" cm="1">
        <f t="array" ref="O187">IF($A187="","",IF($J187="No","",GetMatchingValue($XFD$9,"Original","Control Number",O$2,$A187)))</f>
        <v/>
      </c>
      <c r="P187" s="34" t="str" cm="1">
        <f t="array" ref="P187">IF($A187="","",IF($J187="No","",GetMatchingValue($XFD$9,"Original","Control Number",P$2,$A187)))</f>
        <v/>
      </c>
      <c r="Q187" s="34" t="str" cm="1">
        <f t="array" ref="Q187">IF($A187="","",IF($J187="No","",GetMatchingValue($XFD$9,"Original","Control Number",Q$2,$A187)))</f>
        <v/>
      </c>
      <c r="R187" s="34" t="str" cm="1">
        <f t="array" ref="R187">IF($A187="","",IF($J187="No","",GetMatchingValue($XFD$9,"Original","Control Number",R$2,$A187)))</f>
        <v/>
      </c>
      <c r="S187" s="34" t="str" cm="1">
        <f t="array" ref="S187">IF($A187="","",IF($J187="No","",GetMatchingValue($XFD$9,"Original","Control Number",S$2,$A187)))</f>
        <v/>
      </c>
      <c r="T187" s="34" t="str" cm="1">
        <f t="array" ref="T187">IF($A187="","",IF($J187="No","",GetMatchingValue($XFD$9,"Original","Control Number",T$2,$A187)))</f>
        <v/>
      </c>
      <c r="U187" s="34" t="str" cm="1">
        <f t="array" ref="U187">IF($A187="","",IF($J187="No","",GetMatchingValue($XFD$9,"Original","Control Number",U$2,$A187)))</f>
        <v/>
      </c>
      <c r="V187" s="14"/>
      <c r="W187" s="17"/>
      <c r="X187" s="17"/>
      <c r="Y187" s="17"/>
      <c r="Z187" s="13"/>
      <c r="AA187" s="13"/>
      <c r="AB187" s="13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3"/>
    </row>
    <row r="188" spans="1:45" ht="40.5" customHeight="1" x14ac:dyDescent="0.2">
      <c r="A188" s="13"/>
      <c r="B188" s="14"/>
      <c r="C188" s="15"/>
      <c r="D188" s="15"/>
      <c r="E188" s="13"/>
      <c r="F188" s="34" t="str" cm="1">
        <f t="array" ref="F188">IF($A188="","",GetMatchingValue($XFD$8,"Original","Control Number",F$2,$A188))</f>
        <v/>
      </c>
      <c r="G188" s="34" t="str" cm="1">
        <f t="array" ref="G188">IF($A188="","",GetMatchingValue($XFD$8,"Original","Control Number",G$2,$A188))</f>
        <v/>
      </c>
      <c r="H188" s="34" t="str" cm="1">
        <f t="array" ref="H188">IF($A188="","",GetMatchingValue($XFD$8,"Original","Control Number",H$2,$A188))</f>
        <v/>
      </c>
      <c r="I188" s="13"/>
      <c r="J188" s="13" t="str" cm="1">
        <f t="array" ref="J188">IF($A188="","",CheckControlNumberExists($XFD$9, "Original", $A188))</f>
        <v/>
      </c>
      <c r="K188" s="34" t="str" cm="1">
        <f t="array" ref="K188">IF($A188="","",IF($J188="No","",GetMatchingValue($XFD$9,"Original","Control Number",K$2,$A188)))</f>
        <v/>
      </c>
      <c r="L188" s="34" t="str" cm="1">
        <f t="array" ref="L188">IF($A188="","",IF($J188="No","",GetMatchingValue($XFD$9,"Original","Control Number",L$2,$A188)))</f>
        <v/>
      </c>
      <c r="M188" s="13" t="str">
        <f t="shared" ca="1" si="4"/>
        <v/>
      </c>
      <c r="N188" s="16"/>
      <c r="O188" s="34" t="str" cm="1">
        <f t="array" ref="O188">IF($A188="","",IF($J188="No","",GetMatchingValue($XFD$9,"Original","Control Number",O$2,$A188)))</f>
        <v/>
      </c>
      <c r="P188" s="34" t="str" cm="1">
        <f t="array" ref="P188">IF($A188="","",IF($J188="No","",GetMatchingValue($XFD$9,"Original","Control Number",P$2,$A188)))</f>
        <v/>
      </c>
      <c r="Q188" s="34" t="str" cm="1">
        <f t="array" ref="Q188">IF($A188="","",IF($J188="No","",GetMatchingValue($XFD$9,"Original","Control Number",Q$2,$A188)))</f>
        <v/>
      </c>
      <c r="R188" s="34" t="str" cm="1">
        <f t="array" ref="R188">IF($A188="","",IF($J188="No","",GetMatchingValue($XFD$9,"Original","Control Number",R$2,$A188)))</f>
        <v/>
      </c>
      <c r="S188" s="34" t="str" cm="1">
        <f t="array" ref="S188">IF($A188="","",IF($J188="No","",GetMatchingValue($XFD$9,"Original","Control Number",S$2,$A188)))</f>
        <v/>
      </c>
      <c r="T188" s="34" t="str" cm="1">
        <f t="array" ref="T188">IF($A188="","",IF($J188="No","",GetMatchingValue($XFD$9,"Original","Control Number",T$2,$A188)))</f>
        <v/>
      </c>
      <c r="U188" s="34" t="str" cm="1">
        <f t="array" ref="U188">IF($A188="","",IF($J188="No","",GetMatchingValue($XFD$9,"Original","Control Number",U$2,$A188)))</f>
        <v/>
      </c>
      <c r="V188" s="14"/>
      <c r="W188" s="17"/>
      <c r="X188" s="17"/>
      <c r="Y188" s="17"/>
      <c r="Z188" s="13"/>
      <c r="AA188" s="13"/>
      <c r="AB188" s="13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3"/>
    </row>
    <row r="189" spans="1:45" ht="40.5" customHeight="1" x14ac:dyDescent="0.2">
      <c r="A189" s="14"/>
      <c r="B189" s="14"/>
      <c r="C189" s="15"/>
      <c r="D189" s="15"/>
      <c r="E189" s="13"/>
      <c r="F189" s="34" t="str" cm="1">
        <f t="array" ref="F189">IF($A189="","",GetMatchingValue($XFD$8,"Original","Control Number",F$2,$A189))</f>
        <v/>
      </c>
      <c r="G189" s="34" t="str" cm="1">
        <f t="array" ref="G189">IF($A189="","",GetMatchingValue($XFD$8,"Original","Control Number",G$2,$A189))</f>
        <v/>
      </c>
      <c r="H189" s="34" t="str" cm="1">
        <f t="array" ref="H189">IF($A189="","",GetMatchingValue($XFD$8,"Original","Control Number",H$2,$A189))</f>
        <v/>
      </c>
      <c r="I189" s="13"/>
      <c r="J189" s="13" t="str" cm="1">
        <f t="array" ref="J189">IF($A189="","",CheckControlNumberExists($XFD$9, "Original", $A189))</f>
        <v/>
      </c>
      <c r="K189" s="34" t="str" cm="1">
        <f t="array" ref="K189">IF($A189="","",IF($J189="No","",GetMatchingValue($XFD$9,"Original","Control Number",K$2,$A189)))</f>
        <v/>
      </c>
      <c r="L189" s="34" t="str" cm="1">
        <f t="array" ref="L189">IF($A189="","",IF($J189="No","",GetMatchingValue($XFD$9,"Original","Control Number",L$2,$A189)))</f>
        <v/>
      </c>
      <c r="M189" s="13" t="str">
        <f t="shared" ca="1" si="4"/>
        <v/>
      </c>
      <c r="N189" s="16"/>
      <c r="O189" s="34" t="str" cm="1">
        <f t="array" ref="O189">IF($A189="","",IF($J189="No","",GetMatchingValue($XFD$9,"Original","Control Number",O$2,$A189)))</f>
        <v/>
      </c>
      <c r="P189" s="34" t="str" cm="1">
        <f t="array" ref="P189">IF($A189="","",IF($J189="No","",GetMatchingValue($XFD$9,"Original","Control Number",P$2,$A189)))</f>
        <v/>
      </c>
      <c r="Q189" s="34" t="str" cm="1">
        <f t="array" ref="Q189">IF($A189="","",IF($J189="No","",GetMatchingValue($XFD$9,"Original","Control Number",Q$2,$A189)))</f>
        <v/>
      </c>
      <c r="R189" s="34" t="str" cm="1">
        <f t="array" ref="R189">IF($A189="","",IF($J189="No","",GetMatchingValue($XFD$9,"Original","Control Number",R$2,$A189)))</f>
        <v/>
      </c>
      <c r="S189" s="34" t="str" cm="1">
        <f t="array" ref="S189">IF($A189="","",IF($J189="No","",GetMatchingValue($XFD$9,"Original","Control Number",S$2,$A189)))</f>
        <v/>
      </c>
      <c r="T189" s="34" t="str" cm="1">
        <f t="array" ref="T189">IF($A189="","",IF($J189="No","",GetMatchingValue($XFD$9,"Original","Control Number",T$2,$A189)))</f>
        <v/>
      </c>
      <c r="U189" s="34" t="str" cm="1">
        <f t="array" ref="U189">IF($A189="","",IF($J189="No","",GetMatchingValue($XFD$9,"Original","Control Number",U$2,$A189)))</f>
        <v/>
      </c>
      <c r="V189" s="14"/>
      <c r="W189" s="17"/>
      <c r="X189" s="17"/>
      <c r="Y189" s="17"/>
      <c r="Z189" s="13"/>
      <c r="AA189" s="13"/>
      <c r="AB189" s="13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3"/>
    </row>
    <row r="190" spans="1:45" ht="40.5" customHeight="1" x14ac:dyDescent="0.2">
      <c r="A190" s="13"/>
      <c r="B190" s="14"/>
      <c r="C190" s="15"/>
      <c r="D190" s="15"/>
      <c r="E190" s="13"/>
      <c r="F190" s="34" t="str" cm="1">
        <f t="array" ref="F190">IF($A190="","",GetMatchingValue($XFD$8,"Original","Control Number",F$2,$A190))</f>
        <v/>
      </c>
      <c r="G190" s="34" t="str" cm="1">
        <f t="array" ref="G190">IF($A190="","",GetMatchingValue($XFD$8,"Original","Control Number",G$2,$A190))</f>
        <v/>
      </c>
      <c r="H190" s="34" t="str" cm="1">
        <f t="array" ref="H190">IF($A190="","",GetMatchingValue($XFD$8,"Original","Control Number",H$2,$A190))</f>
        <v/>
      </c>
      <c r="I190" s="13"/>
      <c r="J190" s="13" t="str" cm="1">
        <f t="array" ref="J190">IF($A190="","",CheckControlNumberExists($XFD$9, "Original", $A190))</f>
        <v/>
      </c>
      <c r="K190" s="34" t="str" cm="1">
        <f t="array" ref="K190">IF($A190="","",IF($J190="No","",GetMatchingValue($XFD$9,"Original","Control Number",K$2,$A190)))</f>
        <v/>
      </c>
      <c r="L190" s="34" t="str" cm="1">
        <f t="array" ref="L190">IF($A190="","",IF($J190="No","",GetMatchingValue($XFD$9,"Original","Control Number",L$2,$A190)))</f>
        <v/>
      </c>
      <c r="M190" s="13" t="str">
        <f t="shared" ca="1" si="4"/>
        <v/>
      </c>
      <c r="N190" s="16"/>
      <c r="O190" s="34" t="str" cm="1">
        <f t="array" ref="O190">IF($A190="","",IF($J190="No","",GetMatchingValue($XFD$9,"Original","Control Number",O$2,$A190)))</f>
        <v/>
      </c>
      <c r="P190" s="34" t="str" cm="1">
        <f t="array" ref="P190">IF($A190="","",IF($J190="No","",GetMatchingValue($XFD$9,"Original","Control Number",P$2,$A190)))</f>
        <v/>
      </c>
      <c r="Q190" s="34" t="str" cm="1">
        <f t="array" ref="Q190">IF($A190="","",IF($J190="No","",GetMatchingValue($XFD$9,"Original","Control Number",Q$2,$A190)))</f>
        <v/>
      </c>
      <c r="R190" s="34" t="str" cm="1">
        <f t="array" ref="R190">IF($A190="","",IF($J190="No","",GetMatchingValue($XFD$9,"Original","Control Number",R$2,$A190)))</f>
        <v/>
      </c>
      <c r="S190" s="34" t="str" cm="1">
        <f t="array" ref="S190">IF($A190="","",IF($J190="No","",GetMatchingValue($XFD$9,"Original","Control Number",S$2,$A190)))</f>
        <v/>
      </c>
      <c r="T190" s="34" t="str" cm="1">
        <f t="array" ref="T190">IF($A190="","",IF($J190="No","",GetMatchingValue($XFD$9,"Original","Control Number",T$2,$A190)))</f>
        <v/>
      </c>
      <c r="U190" s="34" t="str" cm="1">
        <f t="array" ref="U190">IF($A190="","",IF($J190="No","",GetMatchingValue($XFD$9,"Original","Control Number",U$2,$A190)))</f>
        <v/>
      </c>
      <c r="V190" s="14"/>
      <c r="W190" s="17"/>
      <c r="X190" s="17"/>
      <c r="Y190" s="17"/>
      <c r="Z190" s="13"/>
      <c r="AA190" s="13"/>
      <c r="AB190" s="13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3"/>
    </row>
    <row r="191" spans="1:45" ht="40.5" customHeight="1" x14ac:dyDescent="0.2">
      <c r="A191" s="13"/>
      <c r="B191" s="14"/>
      <c r="C191" s="15"/>
      <c r="D191" s="15"/>
      <c r="E191" s="13"/>
      <c r="F191" s="34" t="str" cm="1">
        <f t="array" ref="F191">IF($A191="","",GetMatchingValue($XFD$8,"Original","Control Number",F$2,$A191))</f>
        <v/>
      </c>
      <c r="G191" s="34" t="str" cm="1">
        <f t="array" ref="G191">IF($A191="","",GetMatchingValue($XFD$8,"Original","Control Number",G$2,$A191))</f>
        <v/>
      </c>
      <c r="H191" s="34" t="str" cm="1">
        <f t="array" ref="H191">IF($A191="","",GetMatchingValue($XFD$8,"Original","Control Number",H$2,$A191))</f>
        <v/>
      </c>
      <c r="I191" s="13"/>
      <c r="J191" s="13" t="str" cm="1">
        <f t="array" ref="J191">IF($A191="","",CheckControlNumberExists($XFD$9, "Original", $A191))</f>
        <v/>
      </c>
      <c r="K191" s="34" t="str" cm="1">
        <f t="array" ref="K191">IF($A191="","",IF($J191="No","",GetMatchingValue($XFD$9,"Original","Control Number",K$2,$A191)))</f>
        <v/>
      </c>
      <c r="L191" s="34" t="str" cm="1">
        <f t="array" ref="L191">IF($A191="","",IF($J191="No","",GetMatchingValue($XFD$9,"Original","Control Number",L$2,$A191)))</f>
        <v/>
      </c>
      <c r="M191" s="13" t="str">
        <f t="shared" ca="1" si="4"/>
        <v/>
      </c>
      <c r="N191" s="16"/>
      <c r="O191" s="34" t="str" cm="1">
        <f t="array" ref="O191">IF($A191="","",IF($J191="No","",GetMatchingValue($XFD$9,"Original","Control Number",O$2,$A191)))</f>
        <v/>
      </c>
      <c r="P191" s="34" t="str" cm="1">
        <f t="array" ref="P191">IF($A191="","",IF($J191="No","",GetMatchingValue($XFD$9,"Original","Control Number",P$2,$A191)))</f>
        <v/>
      </c>
      <c r="Q191" s="34" t="str" cm="1">
        <f t="array" ref="Q191">IF($A191="","",IF($J191="No","",GetMatchingValue($XFD$9,"Original","Control Number",Q$2,$A191)))</f>
        <v/>
      </c>
      <c r="R191" s="34" t="str" cm="1">
        <f t="array" ref="R191">IF($A191="","",IF($J191="No","",GetMatchingValue($XFD$9,"Original","Control Number",R$2,$A191)))</f>
        <v/>
      </c>
      <c r="S191" s="34" t="str" cm="1">
        <f t="array" ref="S191">IF($A191="","",IF($J191="No","",GetMatchingValue($XFD$9,"Original","Control Number",S$2,$A191)))</f>
        <v/>
      </c>
      <c r="T191" s="34" t="str" cm="1">
        <f t="array" ref="T191">IF($A191="","",IF($J191="No","",GetMatchingValue($XFD$9,"Original","Control Number",T$2,$A191)))</f>
        <v/>
      </c>
      <c r="U191" s="34" t="str" cm="1">
        <f t="array" ref="U191">IF($A191="","",IF($J191="No","",GetMatchingValue($XFD$9,"Original","Control Number",U$2,$A191)))</f>
        <v/>
      </c>
      <c r="V191" s="14"/>
      <c r="W191" s="17"/>
      <c r="X191" s="17"/>
      <c r="Y191" s="17"/>
      <c r="Z191" s="13"/>
      <c r="AA191" s="13"/>
      <c r="AB191" s="13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3"/>
    </row>
    <row r="192" spans="1:45" ht="40.5" customHeight="1" x14ac:dyDescent="0.2">
      <c r="A192" s="13"/>
      <c r="B192" s="14"/>
      <c r="C192" s="15"/>
      <c r="D192" s="15"/>
      <c r="E192" s="13"/>
      <c r="F192" s="34" t="str" cm="1">
        <f t="array" ref="F192">IF($A192="","",GetMatchingValue($XFD$8,"Original","Control Number",F$2,$A192))</f>
        <v/>
      </c>
      <c r="G192" s="34" t="str" cm="1">
        <f t="array" ref="G192">IF($A192="","",GetMatchingValue($XFD$8,"Original","Control Number",G$2,$A192))</f>
        <v/>
      </c>
      <c r="H192" s="34" t="str" cm="1">
        <f t="array" ref="H192">IF($A192="","",GetMatchingValue($XFD$8,"Original","Control Number",H$2,$A192))</f>
        <v/>
      </c>
      <c r="I192" s="13"/>
      <c r="J192" s="13" t="str" cm="1">
        <f t="array" ref="J192">IF($A192="","",CheckControlNumberExists($XFD$9, "Original", $A192))</f>
        <v/>
      </c>
      <c r="K192" s="34" t="str" cm="1">
        <f t="array" ref="K192">IF($A192="","",IF($J192="No","",GetMatchingValue($XFD$9,"Original","Control Number",K$2,$A192)))</f>
        <v/>
      </c>
      <c r="L192" s="34" t="str" cm="1">
        <f t="array" ref="L192">IF($A192="","",IF($J192="No","",GetMatchingValue($XFD$9,"Original","Control Number",L$2,$A192)))</f>
        <v/>
      </c>
      <c r="M192" s="13" t="str">
        <f t="shared" ca="1" si="4"/>
        <v/>
      </c>
      <c r="N192" s="16"/>
      <c r="O192" s="34" t="str" cm="1">
        <f t="array" ref="O192">IF($A192="","",IF($J192="No","",GetMatchingValue($XFD$9,"Original","Control Number",O$2,$A192)))</f>
        <v/>
      </c>
      <c r="P192" s="34" t="str" cm="1">
        <f t="array" ref="P192">IF($A192="","",IF($J192="No","",GetMatchingValue($XFD$9,"Original","Control Number",P$2,$A192)))</f>
        <v/>
      </c>
      <c r="Q192" s="34" t="str" cm="1">
        <f t="array" ref="Q192">IF($A192="","",IF($J192="No","",GetMatchingValue($XFD$9,"Original","Control Number",Q$2,$A192)))</f>
        <v/>
      </c>
      <c r="R192" s="34" t="str" cm="1">
        <f t="array" ref="R192">IF($A192="","",IF($J192="No","",GetMatchingValue($XFD$9,"Original","Control Number",R$2,$A192)))</f>
        <v/>
      </c>
      <c r="S192" s="34" t="str" cm="1">
        <f t="array" ref="S192">IF($A192="","",IF($J192="No","",GetMatchingValue($XFD$9,"Original","Control Number",S$2,$A192)))</f>
        <v/>
      </c>
      <c r="T192" s="34" t="str" cm="1">
        <f t="array" ref="T192">IF($A192="","",IF($J192="No","",GetMatchingValue($XFD$9,"Original","Control Number",T$2,$A192)))</f>
        <v/>
      </c>
      <c r="U192" s="34" t="str" cm="1">
        <f t="array" ref="U192">IF($A192="","",IF($J192="No","",GetMatchingValue($XFD$9,"Original","Control Number",U$2,$A192)))</f>
        <v/>
      </c>
      <c r="V192" s="14"/>
      <c r="W192" s="17"/>
      <c r="X192" s="17"/>
      <c r="Y192" s="17"/>
      <c r="Z192" s="13"/>
      <c r="AA192" s="13"/>
      <c r="AB192" s="13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3"/>
    </row>
    <row r="193" spans="1:45" ht="40.5" customHeight="1" x14ac:dyDescent="0.2">
      <c r="A193" s="19"/>
      <c r="B193" s="14"/>
      <c r="C193" s="15"/>
      <c r="D193" s="15"/>
      <c r="E193" s="13"/>
      <c r="F193" s="34" t="str" cm="1">
        <f t="array" ref="F193">IF($A193="","",GetMatchingValue($XFD$8,"Original","Control Number",F$2,$A193))</f>
        <v/>
      </c>
      <c r="G193" s="34" t="str" cm="1">
        <f t="array" ref="G193">IF($A193="","",GetMatchingValue($XFD$8,"Original","Control Number",G$2,$A193))</f>
        <v/>
      </c>
      <c r="H193" s="34" t="str" cm="1">
        <f t="array" ref="H193">IF($A193="","",GetMatchingValue($XFD$8,"Original","Control Number",H$2,$A193))</f>
        <v/>
      </c>
      <c r="I193" s="13"/>
      <c r="J193" s="13" t="str" cm="1">
        <f t="array" ref="J193">IF($A193="","",CheckControlNumberExists($XFD$9, "Original", $A193))</f>
        <v/>
      </c>
      <c r="K193" s="34" t="str" cm="1">
        <f t="array" ref="K193">IF($A193="","",IF($J193="No","",GetMatchingValue($XFD$9,"Original","Control Number",K$2,$A193)))</f>
        <v/>
      </c>
      <c r="L193" s="34" t="str" cm="1">
        <f t="array" ref="L193">IF($A193="","",IF($J193="No","",GetMatchingValue($XFD$9,"Original","Control Number",L$2,$A193)))</f>
        <v/>
      </c>
      <c r="M193" s="13" t="str">
        <f t="shared" ca="1" si="4"/>
        <v/>
      </c>
      <c r="N193" s="16"/>
      <c r="O193" s="34" t="str" cm="1">
        <f t="array" ref="O193">IF($A193="","",IF($J193="No","",GetMatchingValue($XFD$9,"Original","Control Number",O$2,$A193)))</f>
        <v/>
      </c>
      <c r="P193" s="34" t="str" cm="1">
        <f t="array" ref="P193">IF($A193="","",IF($J193="No","",GetMatchingValue($XFD$9,"Original","Control Number",P$2,$A193)))</f>
        <v/>
      </c>
      <c r="Q193" s="34" t="str" cm="1">
        <f t="array" ref="Q193">IF($A193="","",IF($J193="No","",GetMatchingValue($XFD$9,"Original","Control Number",Q$2,$A193)))</f>
        <v/>
      </c>
      <c r="R193" s="34" t="str" cm="1">
        <f t="array" ref="R193">IF($A193="","",IF($J193="No","",GetMatchingValue($XFD$9,"Original","Control Number",R$2,$A193)))</f>
        <v/>
      </c>
      <c r="S193" s="34" t="str" cm="1">
        <f t="array" ref="S193">IF($A193="","",IF($J193="No","",GetMatchingValue($XFD$9,"Original","Control Number",S$2,$A193)))</f>
        <v/>
      </c>
      <c r="T193" s="34" t="str" cm="1">
        <f t="array" ref="T193">IF($A193="","",IF($J193="No","",GetMatchingValue($XFD$9,"Original","Control Number",T$2,$A193)))</f>
        <v/>
      </c>
      <c r="U193" s="34" t="str" cm="1">
        <f t="array" ref="U193">IF($A193="","",IF($J193="No","",GetMatchingValue($XFD$9,"Original","Control Number",U$2,$A193)))</f>
        <v/>
      </c>
      <c r="V193" s="14"/>
      <c r="W193" s="17"/>
      <c r="X193" s="17"/>
      <c r="Y193" s="17"/>
      <c r="Z193" s="13"/>
      <c r="AA193" s="13"/>
      <c r="AB193" s="13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3"/>
    </row>
    <row r="194" spans="1:45" ht="40.5" customHeight="1" x14ac:dyDescent="0.2">
      <c r="A194" s="13"/>
      <c r="B194" s="14"/>
      <c r="C194" s="15"/>
      <c r="D194" s="15"/>
      <c r="E194" s="13"/>
      <c r="F194" s="34" t="str" cm="1">
        <f t="array" ref="F194">IF($A194="","",GetMatchingValue($XFD$8,"Original","Control Number",F$2,$A194))</f>
        <v/>
      </c>
      <c r="G194" s="34" t="str" cm="1">
        <f t="array" ref="G194">IF($A194="","",GetMatchingValue($XFD$8,"Original","Control Number",G$2,$A194))</f>
        <v/>
      </c>
      <c r="H194" s="34" t="str" cm="1">
        <f t="array" ref="H194">IF($A194="","",GetMatchingValue($XFD$8,"Original","Control Number",H$2,$A194))</f>
        <v/>
      </c>
      <c r="I194" s="13"/>
      <c r="J194" s="13" t="str" cm="1">
        <f t="array" ref="J194">IF($A194="","",CheckControlNumberExists($XFD$9, "Original", $A194))</f>
        <v/>
      </c>
      <c r="K194" s="34" t="str" cm="1">
        <f t="array" ref="K194">IF($A194="","",IF($J194="No","",GetMatchingValue($XFD$9,"Original","Control Number",K$2,$A194)))</f>
        <v/>
      </c>
      <c r="L194" s="34" t="str" cm="1">
        <f t="array" ref="L194">IF($A194="","",IF($J194="No","",GetMatchingValue($XFD$9,"Original","Control Number",L$2,$A194)))</f>
        <v/>
      </c>
      <c r="M194" s="13" t="str">
        <f t="shared" ca="1" si="4"/>
        <v/>
      </c>
      <c r="N194" s="16"/>
      <c r="O194" s="34" t="str" cm="1">
        <f t="array" ref="O194">IF($A194="","",IF($J194="No","",GetMatchingValue($XFD$9,"Original","Control Number",O$2,$A194)))</f>
        <v/>
      </c>
      <c r="P194" s="34" t="str" cm="1">
        <f t="array" ref="P194">IF($A194="","",IF($J194="No","",GetMatchingValue($XFD$9,"Original","Control Number",P$2,$A194)))</f>
        <v/>
      </c>
      <c r="Q194" s="34" t="str" cm="1">
        <f t="array" ref="Q194">IF($A194="","",IF($J194="No","",GetMatchingValue($XFD$9,"Original","Control Number",Q$2,$A194)))</f>
        <v/>
      </c>
      <c r="R194" s="34" t="str" cm="1">
        <f t="array" ref="R194">IF($A194="","",IF($J194="No","",GetMatchingValue($XFD$9,"Original","Control Number",R$2,$A194)))</f>
        <v/>
      </c>
      <c r="S194" s="34" t="str" cm="1">
        <f t="array" ref="S194">IF($A194="","",IF($J194="No","",GetMatchingValue($XFD$9,"Original","Control Number",S$2,$A194)))</f>
        <v/>
      </c>
      <c r="T194" s="34" t="str" cm="1">
        <f t="array" ref="T194">IF($A194="","",IF($J194="No","",GetMatchingValue($XFD$9,"Original","Control Number",T$2,$A194)))</f>
        <v/>
      </c>
      <c r="U194" s="34" t="str" cm="1">
        <f t="array" ref="U194">IF($A194="","",IF($J194="No","",GetMatchingValue($XFD$9,"Original","Control Number",U$2,$A194)))</f>
        <v/>
      </c>
      <c r="V194" s="14"/>
      <c r="W194" s="17"/>
      <c r="X194" s="17"/>
      <c r="Y194" s="17"/>
      <c r="Z194" s="13"/>
      <c r="AA194" s="13"/>
      <c r="AB194" s="13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3"/>
    </row>
    <row r="195" spans="1:45" ht="40.5" customHeight="1" x14ac:dyDescent="0.2">
      <c r="A195" s="13"/>
      <c r="B195" s="14"/>
      <c r="C195" s="15"/>
      <c r="D195" s="15"/>
      <c r="E195" s="13"/>
      <c r="F195" s="34" t="str" cm="1">
        <f t="array" ref="F195">IF($A195="","",GetMatchingValue($XFD$8,"Original","Control Number",F$2,$A195))</f>
        <v/>
      </c>
      <c r="G195" s="34" t="str" cm="1">
        <f t="array" ref="G195">IF($A195="","",GetMatchingValue($XFD$8,"Original","Control Number",G$2,$A195))</f>
        <v/>
      </c>
      <c r="H195" s="34" t="str" cm="1">
        <f t="array" ref="H195">IF($A195="","",GetMatchingValue($XFD$8,"Original","Control Number",H$2,$A195))</f>
        <v/>
      </c>
      <c r="I195" s="13"/>
      <c r="J195" s="13" t="str" cm="1">
        <f t="array" ref="J195">IF($A195="","",CheckControlNumberExists($XFD$9, "Original", $A195))</f>
        <v/>
      </c>
      <c r="K195" s="34" t="str" cm="1">
        <f t="array" ref="K195">IF($A195="","",IF($J195="No","",GetMatchingValue($XFD$9,"Original","Control Number",K$2,$A195)))</f>
        <v/>
      </c>
      <c r="L195" s="34" t="str" cm="1">
        <f t="array" ref="L195">IF($A195="","",IF($J195="No","",GetMatchingValue($XFD$9,"Original","Control Number",L$2,$A195)))</f>
        <v/>
      </c>
      <c r="M195" s="13" t="str">
        <f t="shared" ca="1" si="4"/>
        <v/>
      </c>
      <c r="N195" s="16"/>
      <c r="O195" s="34" t="str" cm="1">
        <f t="array" ref="O195">IF($A195="","",IF($J195="No","",GetMatchingValue($XFD$9,"Original","Control Number",O$2,$A195)))</f>
        <v/>
      </c>
      <c r="P195" s="34" t="str" cm="1">
        <f t="array" ref="P195">IF($A195="","",IF($J195="No","",GetMatchingValue($XFD$9,"Original","Control Number",P$2,$A195)))</f>
        <v/>
      </c>
      <c r="Q195" s="34" t="str" cm="1">
        <f t="array" ref="Q195">IF($A195="","",IF($J195="No","",GetMatchingValue($XFD$9,"Original","Control Number",Q$2,$A195)))</f>
        <v/>
      </c>
      <c r="R195" s="34" t="str" cm="1">
        <f t="array" ref="R195">IF($A195="","",IF($J195="No","",GetMatchingValue($XFD$9,"Original","Control Number",R$2,$A195)))</f>
        <v/>
      </c>
      <c r="S195" s="34" t="str" cm="1">
        <f t="array" ref="S195">IF($A195="","",IF($J195="No","",GetMatchingValue($XFD$9,"Original","Control Number",S$2,$A195)))</f>
        <v/>
      </c>
      <c r="T195" s="34" t="str" cm="1">
        <f t="array" ref="T195">IF($A195="","",IF($J195="No","",GetMatchingValue($XFD$9,"Original","Control Number",T$2,$A195)))</f>
        <v/>
      </c>
      <c r="U195" s="34" t="str" cm="1">
        <f t="array" ref="U195">IF($A195="","",IF($J195="No","",GetMatchingValue($XFD$9,"Original","Control Number",U$2,$A195)))</f>
        <v/>
      </c>
      <c r="V195" s="14"/>
      <c r="W195" s="17"/>
      <c r="X195" s="17"/>
      <c r="Y195" s="17"/>
      <c r="Z195" s="13"/>
      <c r="AA195" s="13"/>
      <c r="AB195" s="13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3"/>
    </row>
    <row r="196" spans="1:45" ht="40.5" customHeight="1" x14ac:dyDescent="0.2">
      <c r="A196" s="13"/>
      <c r="B196" s="14"/>
      <c r="C196" s="15"/>
      <c r="D196" s="15"/>
      <c r="E196" s="13"/>
      <c r="F196" s="34" t="str" cm="1">
        <f t="array" ref="F196">IF($A196="","",GetMatchingValue($XFD$8,"Original","Control Number",F$2,$A196))</f>
        <v/>
      </c>
      <c r="G196" s="34" t="str" cm="1">
        <f t="array" ref="G196">IF($A196="","",GetMatchingValue($XFD$8,"Original","Control Number",G$2,$A196))</f>
        <v/>
      </c>
      <c r="H196" s="34" t="str" cm="1">
        <f t="array" ref="H196">IF($A196="","",GetMatchingValue($XFD$8,"Original","Control Number",H$2,$A196))</f>
        <v/>
      </c>
      <c r="I196" s="13"/>
      <c r="J196" s="13" t="str" cm="1">
        <f t="array" ref="J196">IF($A196="","",CheckControlNumberExists($XFD$9, "Original", $A196))</f>
        <v/>
      </c>
      <c r="K196" s="34" t="str" cm="1">
        <f t="array" ref="K196">IF($A196="","",IF($J196="No","",GetMatchingValue($XFD$9,"Original","Control Number",K$2,$A196)))</f>
        <v/>
      </c>
      <c r="L196" s="34" t="str" cm="1">
        <f t="array" ref="L196">IF($A196="","",IF($J196="No","",GetMatchingValue($XFD$9,"Original","Control Number",L$2,$A196)))</f>
        <v/>
      </c>
      <c r="M196" s="13" t="str">
        <f t="shared" ca="1" si="4"/>
        <v/>
      </c>
      <c r="N196" s="16"/>
      <c r="O196" s="34" t="str" cm="1">
        <f t="array" ref="O196">IF($A196="","",IF($J196="No","",GetMatchingValue($XFD$9,"Original","Control Number",O$2,$A196)))</f>
        <v/>
      </c>
      <c r="P196" s="34" t="str" cm="1">
        <f t="array" ref="P196">IF($A196="","",IF($J196="No","",GetMatchingValue($XFD$9,"Original","Control Number",P$2,$A196)))</f>
        <v/>
      </c>
      <c r="Q196" s="34" t="str" cm="1">
        <f t="array" ref="Q196">IF($A196="","",IF($J196="No","",GetMatchingValue($XFD$9,"Original","Control Number",Q$2,$A196)))</f>
        <v/>
      </c>
      <c r="R196" s="34" t="str" cm="1">
        <f t="array" ref="R196">IF($A196="","",IF($J196="No","",GetMatchingValue($XFD$9,"Original","Control Number",R$2,$A196)))</f>
        <v/>
      </c>
      <c r="S196" s="34" t="str" cm="1">
        <f t="array" ref="S196">IF($A196="","",IF($J196="No","",GetMatchingValue($XFD$9,"Original","Control Number",S$2,$A196)))</f>
        <v/>
      </c>
      <c r="T196" s="34" t="str" cm="1">
        <f t="array" ref="T196">IF($A196="","",IF($J196="No","",GetMatchingValue($XFD$9,"Original","Control Number",T$2,$A196)))</f>
        <v/>
      </c>
      <c r="U196" s="34" t="str" cm="1">
        <f t="array" ref="U196">IF($A196="","",IF($J196="No","",GetMatchingValue($XFD$9,"Original","Control Number",U$2,$A196)))</f>
        <v/>
      </c>
      <c r="V196" s="14"/>
      <c r="W196" s="17"/>
      <c r="X196" s="17"/>
      <c r="Y196" s="17"/>
      <c r="Z196" s="13"/>
      <c r="AA196" s="13"/>
      <c r="AB196" s="13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3"/>
    </row>
    <row r="197" spans="1:45" ht="40.5" customHeight="1" x14ac:dyDescent="0.2">
      <c r="A197" s="13"/>
      <c r="B197" s="14"/>
      <c r="C197" s="15"/>
      <c r="D197" s="15"/>
      <c r="E197" s="13"/>
      <c r="F197" s="34" t="str" cm="1">
        <f t="array" ref="F197">IF($A197="","",GetMatchingValue($XFD$8,"Original","Control Number",F$2,$A197))</f>
        <v/>
      </c>
      <c r="G197" s="34" t="str" cm="1">
        <f t="array" ref="G197">IF($A197="","",GetMatchingValue($XFD$8,"Original","Control Number",G$2,$A197))</f>
        <v/>
      </c>
      <c r="H197" s="34" t="str" cm="1">
        <f t="array" ref="H197">IF($A197="","",GetMatchingValue($XFD$8,"Original","Control Number",H$2,$A197))</f>
        <v/>
      </c>
      <c r="I197" s="13"/>
      <c r="J197" s="13" t="str" cm="1">
        <f t="array" ref="J197">IF($A197="","",CheckControlNumberExists($XFD$9, "Original", $A197))</f>
        <v/>
      </c>
      <c r="K197" s="34" t="str" cm="1">
        <f t="array" ref="K197">IF($A197="","",IF($J197="No","",GetMatchingValue($XFD$9,"Original","Control Number",K$2,$A197)))</f>
        <v/>
      </c>
      <c r="L197" s="34" t="str" cm="1">
        <f t="array" ref="L197">IF($A197="","",IF($J197="No","",GetMatchingValue($XFD$9,"Original","Control Number",L$2,$A197)))</f>
        <v/>
      </c>
      <c r="M197" s="13" t="str">
        <f t="shared" ca="1" si="4"/>
        <v/>
      </c>
      <c r="N197" s="16"/>
      <c r="O197" s="34" t="str" cm="1">
        <f t="array" ref="O197">IF($A197="","",IF($J197="No","",GetMatchingValue($XFD$9,"Original","Control Number",O$2,$A197)))</f>
        <v/>
      </c>
      <c r="P197" s="34" t="str" cm="1">
        <f t="array" ref="P197">IF($A197="","",IF($J197="No","",GetMatchingValue($XFD$9,"Original","Control Number",P$2,$A197)))</f>
        <v/>
      </c>
      <c r="Q197" s="34" t="str" cm="1">
        <f t="array" ref="Q197">IF($A197="","",IF($J197="No","",GetMatchingValue($XFD$9,"Original","Control Number",Q$2,$A197)))</f>
        <v/>
      </c>
      <c r="R197" s="34" t="str" cm="1">
        <f t="array" ref="R197">IF($A197="","",IF($J197="No","",GetMatchingValue($XFD$9,"Original","Control Number",R$2,$A197)))</f>
        <v/>
      </c>
      <c r="S197" s="34" t="str" cm="1">
        <f t="array" ref="S197">IF($A197="","",IF($J197="No","",GetMatchingValue($XFD$9,"Original","Control Number",S$2,$A197)))</f>
        <v/>
      </c>
      <c r="T197" s="34" t="str" cm="1">
        <f t="array" ref="T197">IF($A197="","",IF($J197="No","",GetMatchingValue($XFD$9,"Original","Control Number",T$2,$A197)))</f>
        <v/>
      </c>
      <c r="U197" s="34" t="str" cm="1">
        <f t="array" ref="U197">IF($A197="","",IF($J197="No","",GetMatchingValue($XFD$9,"Original","Control Number",U$2,$A197)))</f>
        <v/>
      </c>
      <c r="V197" s="14"/>
      <c r="W197" s="17"/>
      <c r="X197" s="17"/>
      <c r="Y197" s="17"/>
      <c r="Z197" s="13"/>
      <c r="AA197" s="13"/>
      <c r="AB197" s="13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3"/>
    </row>
    <row r="198" spans="1:45" ht="40.5" customHeight="1" x14ac:dyDescent="0.2">
      <c r="A198" s="13"/>
      <c r="B198" s="14"/>
      <c r="C198" s="15"/>
      <c r="D198" s="15"/>
      <c r="E198" s="13"/>
      <c r="F198" s="34" t="str" cm="1">
        <f t="array" ref="F198">IF($A198="","",GetMatchingValue($XFD$8,"Original","Control Number",F$2,$A198))</f>
        <v/>
      </c>
      <c r="G198" s="34" t="str" cm="1">
        <f t="array" ref="G198">IF($A198="","",GetMatchingValue($XFD$8,"Original","Control Number",G$2,$A198))</f>
        <v/>
      </c>
      <c r="H198" s="34" t="str" cm="1">
        <f t="array" ref="H198">IF($A198="","",GetMatchingValue($XFD$8,"Original","Control Number",H$2,$A198))</f>
        <v/>
      </c>
      <c r="I198" s="13"/>
      <c r="J198" s="13" t="str" cm="1">
        <f t="array" ref="J198">IF($A198="","",CheckControlNumberExists($XFD$9, "Original", $A198))</f>
        <v/>
      </c>
      <c r="K198" s="34" t="str" cm="1">
        <f t="array" ref="K198">IF($A198="","",IF($J198="No","",GetMatchingValue($XFD$9,"Original","Control Number",K$2,$A198)))</f>
        <v/>
      </c>
      <c r="L198" s="34" t="str" cm="1">
        <f t="array" ref="L198">IF($A198="","",IF($J198="No","",GetMatchingValue($XFD$9,"Original","Control Number",L$2,$A198)))</f>
        <v/>
      </c>
      <c r="M198" s="13" t="str">
        <f t="shared" ca="1" si="4"/>
        <v/>
      </c>
      <c r="N198" s="16"/>
      <c r="O198" s="34" t="str" cm="1">
        <f t="array" ref="O198">IF($A198="","",IF($J198="No","",GetMatchingValue($XFD$9,"Original","Control Number",O$2,$A198)))</f>
        <v/>
      </c>
      <c r="P198" s="34" t="str" cm="1">
        <f t="array" ref="P198">IF($A198="","",IF($J198="No","",GetMatchingValue($XFD$9,"Original","Control Number",P$2,$A198)))</f>
        <v/>
      </c>
      <c r="Q198" s="34" t="str" cm="1">
        <f t="array" ref="Q198">IF($A198="","",IF($J198="No","",GetMatchingValue($XFD$9,"Original","Control Number",Q$2,$A198)))</f>
        <v/>
      </c>
      <c r="R198" s="34" t="str" cm="1">
        <f t="array" ref="R198">IF($A198="","",IF($J198="No","",GetMatchingValue($XFD$9,"Original","Control Number",R$2,$A198)))</f>
        <v/>
      </c>
      <c r="S198" s="34" t="str" cm="1">
        <f t="array" ref="S198">IF($A198="","",IF($J198="No","",GetMatchingValue($XFD$9,"Original","Control Number",S$2,$A198)))</f>
        <v/>
      </c>
      <c r="T198" s="34" t="str" cm="1">
        <f t="array" ref="T198">IF($A198="","",IF($J198="No","",GetMatchingValue($XFD$9,"Original","Control Number",T$2,$A198)))</f>
        <v/>
      </c>
      <c r="U198" s="34" t="str" cm="1">
        <f t="array" ref="U198">IF($A198="","",IF($J198="No","",GetMatchingValue($XFD$9,"Original","Control Number",U$2,$A198)))</f>
        <v/>
      </c>
      <c r="V198" s="14"/>
      <c r="W198" s="17"/>
      <c r="X198" s="17"/>
      <c r="Y198" s="17"/>
      <c r="Z198" s="13"/>
      <c r="AA198" s="13"/>
      <c r="AB198" s="13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3"/>
    </row>
    <row r="199" spans="1:45" ht="40.5" customHeight="1" x14ac:dyDescent="0.2">
      <c r="A199" s="19"/>
      <c r="B199" s="14"/>
      <c r="C199" s="15"/>
      <c r="D199" s="15"/>
      <c r="E199" s="13"/>
      <c r="F199" s="34" t="str" cm="1">
        <f t="array" ref="F199">IF($A199="","",GetMatchingValue($XFD$8,"Original","Control Number",F$2,$A199))</f>
        <v/>
      </c>
      <c r="G199" s="34" t="str" cm="1">
        <f t="array" ref="G199">IF($A199="","",GetMatchingValue($XFD$8,"Original","Control Number",G$2,$A199))</f>
        <v/>
      </c>
      <c r="H199" s="34" t="str" cm="1">
        <f t="array" ref="H199">IF($A199="","",GetMatchingValue($XFD$8,"Original","Control Number",H$2,$A199))</f>
        <v/>
      </c>
      <c r="I199" s="13"/>
      <c r="J199" s="13" t="str" cm="1">
        <f t="array" ref="J199">IF($A199="","",CheckControlNumberExists($XFD$9, "Original", $A199))</f>
        <v/>
      </c>
      <c r="K199" s="34" t="str" cm="1">
        <f t="array" ref="K199">IF($A199="","",IF($J199="No","",GetMatchingValue($XFD$9,"Original","Control Number",K$2,$A199)))</f>
        <v/>
      </c>
      <c r="L199" s="34" t="str" cm="1">
        <f t="array" ref="L199">IF($A199="","",IF($J199="No","",GetMatchingValue($XFD$9,"Original","Control Number",L$2,$A199)))</f>
        <v/>
      </c>
      <c r="M199" s="13" t="str">
        <f t="shared" ca="1" si="4"/>
        <v/>
      </c>
      <c r="N199" s="16"/>
      <c r="O199" s="34" t="str" cm="1">
        <f t="array" ref="O199">IF($A199="","",IF($J199="No","",GetMatchingValue($XFD$9,"Original","Control Number",O$2,$A199)))</f>
        <v/>
      </c>
      <c r="P199" s="34" t="str" cm="1">
        <f t="array" ref="P199">IF($A199="","",IF($J199="No","",GetMatchingValue($XFD$9,"Original","Control Number",P$2,$A199)))</f>
        <v/>
      </c>
      <c r="Q199" s="34" t="str" cm="1">
        <f t="array" ref="Q199">IF($A199="","",IF($J199="No","",GetMatchingValue($XFD$9,"Original","Control Number",Q$2,$A199)))</f>
        <v/>
      </c>
      <c r="R199" s="34" t="str" cm="1">
        <f t="array" ref="R199">IF($A199="","",IF($J199="No","",GetMatchingValue($XFD$9,"Original","Control Number",R$2,$A199)))</f>
        <v/>
      </c>
      <c r="S199" s="34" t="str" cm="1">
        <f t="array" ref="S199">IF($A199="","",IF($J199="No","",GetMatchingValue($XFD$9,"Original","Control Number",S$2,$A199)))</f>
        <v/>
      </c>
      <c r="T199" s="34" t="str" cm="1">
        <f t="array" ref="T199">IF($A199="","",IF($J199="No","",GetMatchingValue($XFD$9,"Original","Control Number",T$2,$A199)))</f>
        <v/>
      </c>
      <c r="U199" s="34" t="str" cm="1">
        <f t="array" ref="U199">IF($A199="","",IF($J199="No","",GetMatchingValue($XFD$9,"Original","Control Number",U$2,$A199)))</f>
        <v/>
      </c>
      <c r="V199" s="14"/>
      <c r="W199" s="17"/>
      <c r="X199" s="17"/>
      <c r="Y199" s="17"/>
      <c r="Z199" s="13"/>
      <c r="AA199" s="13"/>
      <c r="AB199" s="13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3"/>
    </row>
    <row r="200" spans="1:45" ht="40.5" customHeight="1" x14ac:dyDescent="0.2">
      <c r="A200" s="19"/>
      <c r="B200" s="14"/>
      <c r="C200" s="15"/>
      <c r="D200" s="15"/>
      <c r="E200" s="13"/>
      <c r="F200" s="34" t="str" cm="1">
        <f t="array" ref="F200">IF($A200="","",GetMatchingValue($XFD$8,"Original","Control Number",F$2,$A200))</f>
        <v/>
      </c>
      <c r="G200" s="34" t="str" cm="1">
        <f t="array" ref="G200">IF($A200="","",GetMatchingValue($XFD$8,"Original","Control Number",G$2,$A200))</f>
        <v/>
      </c>
      <c r="H200" s="34" t="str" cm="1">
        <f t="array" ref="H200">IF($A200="","",GetMatchingValue($XFD$8,"Original","Control Number",H$2,$A200))</f>
        <v/>
      </c>
      <c r="I200" s="13"/>
      <c r="J200" s="13" t="str" cm="1">
        <f t="array" ref="J200">IF($A200="","",CheckControlNumberExists($XFD$9, "Original", $A200))</f>
        <v/>
      </c>
      <c r="K200" s="34" t="str" cm="1">
        <f t="array" ref="K200">IF($A200="","",IF($J200="No","",GetMatchingValue($XFD$9,"Original","Control Number",K$2,$A200)))</f>
        <v/>
      </c>
      <c r="L200" s="34" t="str" cm="1">
        <f t="array" ref="L200">IF($A200="","",IF($J200="No","",GetMatchingValue($XFD$9,"Original","Control Number",L$2,$A200)))</f>
        <v/>
      </c>
      <c r="M200" s="13" t="str">
        <f t="shared" ca="1" si="4"/>
        <v/>
      </c>
      <c r="N200" s="16"/>
      <c r="O200" s="34" t="str" cm="1">
        <f t="array" ref="O200">IF($A200="","",IF($J200="No","",GetMatchingValue($XFD$9,"Original","Control Number",O$2,$A200)))</f>
        <v/>
      </c>
      <c r="P200" s="34" t="str" cm="1">
        <f t="array" ref="P200">IF($A200="","",IF($J200="No","",GetMatchingValue($XFD$9,"Original","Control Number",P$2,$A200)))</f>
        <v/>
      </c>
      <c r="Q200" s="34" t="str" cm="1">
        <f t="array" ref="Q200">IF($A200="","",IF($J200="No","",GetMatchingValue($XFD$9,"Original","Control Number",Q$2,$A200)))</f>
        <v/>
      </c>
      <c r="R200" s="34" t="str" cm="1">
        <f t="array" ref="R200">IF($A200="","",IF($J200="No","",GetMatchingValue($XFD$9,"Original","Control Number",R$2,$A200)))</f>
        <v/>
      </c>
      <c r="S200" s="34" t="str" cm="1">
        <f t="array" ref="S200">IF($A200="","",IF($J200="No","",GetMatchingValue($XFD$9,"Original","Control Number",S$2,$A200)))</f>
        <v/>
      </c>
      <c r="T200" s="34" t="str" cm="1">
        <f t="array" ref="T200">IF($A200="","",IF($J200="No","",GetMatchingValue($XFD$9,"Original","Control Number",T$2,$A200)))</f>
        <v/>
      </c>
      <c r="U200" s="34" t="str" cm="1">
        <f t="array" ref="U200">IF($A200="","",IF($J200="No","",GetMatchingValue($XFD$9,"Original","Control Number",U$2,$A200)))</f>
        <v/>
      </c>
      <c r="V200" s="14"/>
      <c r="W200" s="17"/>
      <c r="X200" s="17"/>
      <c r="Y200" s="17"/>
      <c r="Z200" s="13"/>
      <c r="AA200" s="13"/>
      <c r="AB200" s="13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3"/>
    </row>
    <row r="201" spans="1:45" ht="40.5" customHeight="1" x14ac:dyDescent="0.2">
      <c r="A201" s="19"/>
      <c r="B201" s="14"/>
      <c r="C201" s="15"/>
      <c r="D201" s="15"/>
      <c r="E201" s="13"/>
      <c r="F201" s="34" t="str" cm="1">
        <f t="array" ref="F201">IF($A201="","",GetMatchingValue($XFD$8,"Original","Control Number",F$2,$A201))</f>
        <v/>
      </c>
      <c r="G201" s="34" t="str" cm="1">
        <f t="array" ref="G201">IF($A201="","",GetMatchingValue($XFD$8,"Original","Control Number",G$2,$A201))</f>
        <v/>
      </c>
      <c r="H201" s="34" t="str" cm="1">
        <f t="array" ref="H201">IF($A201="","",GetMatchingValue($XFD$8,"Original","Control Number",H$2,$A201))</f>
        <v/>
      </c>
      <c r="I201" s="13"/>
      <c r="J201" s="13" t="str" cm="1">
        <f t="array" ref="J201">IF($A201="","",CheckControlNumberExists($XFD$9, "Original", $A201))</f>
        <v/>
      </c>
      <c r="K201" s="34" t="str" cm="1">
        <f t="array" ref="K201">IF($A201="","",IF($J201="No","",GetMatchingValue($XFD$9,"Original","Control Number",K$2,$A201)))</f>
        <v/>
      </c>
      <c r="L201" s="34" t="str" cm="1">
        <f t="array" ref="L201">IF($A201="","",IF($J201="No","",GetMatchingValue($XFD$9,"Original","Control Number",L$2,$A201)))</f>
        <v/>
      </c>
      <c r="M201" s="13" t="str">
        <f t="shared" ref="M201:M264" ca="1" si="5">IFERROR(INDEX(
    INDIRECT($XFD$7 &amp; ADDRESS(2, MATCH(M$2, INDIRECT($XFD$7 &amp; "1:1"), 0)) &amp; ":" &amp; ADDRESS(65536, MATCH(M$2, INDIRECT($XFD$7 &amp; "1:1"), 0))),
    MATCH($A201, INDIRECT($XFD$7 &amp; ADDRESS(2, MATCH("Control Number", INDIRECT($XFD$7 &amp; "1:1"), 0)) &amp; ":" &amp; ADDRESS(65536, MATCH("Control Number", INDIRECT($XFD$7 &amp; "1:1"), 0))), 0)
),"")</f>
        <v/>
      </c>
      <c r="N201" s="16"/>
      <c r="O201" s="34" t="str" cm="1">
        <f t="array" ref="O201">IF($A201="","",IF($J201="No","",GetMatchingValue($XFD$9,"Original","Control Number",O$2,$A201)))</f>
        <v/>
      </c>
      <c r="P201" s="34" t="str" cm="1">
        <f t="array" ref="P201">IF($A201="","",IF($J201="No","",GetMatchingValue($XFD$9,"Original","Control Number",P$2,$A201)))</f>
        <v/>
      </c>
      <c r="Q201" s="34" t="str" cm="1">
        <f t="array" ref="Q201">IF($A201="","",IF($J201="No","",GetMatchingValue($XFD$9,"Original","Control Number",Q$2,$A201)))</f>
        <v/>
      </c>
      <c r="R201" s="34" t="str" cm="1">
        <f t="array" ref="R201">IF($A201="","",IF($J201="No","",GetMatchingValue($XFD$9,"Original","Control Number",R$2,$A201)))</f>
        <v/>
      </c>
      <c r="S201" s="34" t="str" cm="1">
        <f t="array" ref="S201">IF($A201="","",IF($J201="No","",GetMatchingValue($XFD$9,"Original","Control Number",S$2,$A201)))</f>
        <v/>
      </c>
      <c r="T201" s="34" t="str" cm="1">
        <f t="array" ref="T201">IF($A201="","",IF($J201="No","",GetMatchingValue($XFD$9,"Original","Control Number",T$2,$A201)))</f>
        <v/>
      </c>
      <c r="U201" s="34" t="str" cm="1">
        <f t="array" ref="U201">IF($A201="","",IF($J201="No","",GetMatchingValue($XFD$9,"Original","Control Number",U$2,$A201)))</f>
        <v/>
      </c>
      <c r="V201" s="14"/>
      <c r="W201" s="17"/>
      <c r="X201" s="17"/>
      <c r="Y201" s="17"/>
      <c r="Z201" s="13"/>
      <c r="AA201" s="13"/>
      <c r="AB201" s="13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3"/>
    </row>
    <row r="202" spans="1:45" ht="40.5" customHeight="1" x14ac:dyDescent="0.2">
      <c r="A202" s="19"/>
      <c r="B202" s="14"/>
      <c r="C202" s="15"/>
      <c r="D202" s="15"/>
      <c r="E202" s="13"/>
      <c r="F202" s="34" t="str" cm="1">
        <f t="array" ref="F202">IF($A202="","",GetMatchingValue($XFD$8,"Original","Control Number",F$2,$A202))</f>
        <v/>
      </c>
      <c r="G202" s="34" t="str" cm="1">
        <f t="array" ref="G202">IF($A202="","",GetMatchingValue($XFD$8,"Original","Control Number",G$2,$A202))</f>
        <v/>
      </c>
      <c r="H202" s="34" t="str" cm="1">
        <f t="array" ref="H202">IF($A202="","",GetMatchingValue($XFD$8,"Original","Control Number",H$2,$A202))</f>
        <v/>
      </c>
      <c r="I202" s="13"/>
      <c r="J202" s="13" t="str" cm="1">
        <f t="array" ref="J202">IF($A202="","",CheckControlNumberExists($XFD$9, "Original", $A202))</f>
        <v/>
      </c>
      <c r="K202" s="34" t="str" cm="1">
        <f t="array" ref="K202">IF($A202="","",IF($J202="No","",GetMatchingValue($XFD$9,"Original","Control Number",K$2,$A202)))</f>
        <v/>
      </c>
      <c r="L202" s="34" t="str" cm="1">
        <f t="array" ref="L202">IF($A202="","",IF($J202="No","",GetMatchingValue($XFD$9,"Original","Control Number",L$2,$A202)))</f>
        <v/>
      </c>
      <c r="M202" s="13" t="str">
        <f t="shared" ca="1" si="5"/>
        <v/>
      </c>
      <c r="N202" s="16"/>
      <c r="O202" s="34" t="str" cm="1">
        <f t="array" ref="O202">IF($A202="","",IF($J202="No","",GetMatchingValue($XFD$9,"Original","Control Number",O$2,$A202)))</f>
        <v/>
      </c>
      <c r="P202" s="34" t="str" cm="1">
        <f t="array" ref="P202">IF($A202="","",IF($J202="No","",GetMatchingValue($XFD$9,"Original","Control Number",P$2,$A202)))</f>
        <v/>
      </c>
      <c r="Q202" s="34" t="str" cm="1">
        <f t="array" ref="Q202">IF($A202="","",IF($J202="No","",GetMatchingValue($XFD$9,"Original","Control Number",Q$2,$A202)))</f>
        <v/>
      </c>
      <c r="R202" s="34" t="str" cm="1">
        <f t="array" ref="R202">IF($A202="","",IF($J202="No","",GetMatchingValue($XFD$9,"Original","Control Number",R$2,$A202)))</f>
        <v/>
      </c>
      <c r="S202" s="34" t="str" cm="1">
        <f t="array" ref="S202">IF($A202="","",IF($J202="No","",GetMatchingValue($XFD$9,"Original","Control Number",S$2,$A202)))</f>
        <v/>
      </c>
      <c r="T202" s="34" t="str" cm="1">
        <f t="array" ref="T202">IF($A202="","",IF($J202="No","",GetMatchingValue($XFD$9,"Original","Control Number",T$2,$A202)))</f>
        <v/>
      </c>
      <c r="U202" s="34" t="str" cm="1">
        <f t="array" ref="U202">IF($A202="","",IF($J202="No","",GetMatchingValue($XFD$9,"Original","Control Number",U$2,$A202)))</f>
        <v/>
      </c>
      <c r="V202" s="14"/>
      <c r="W202" s="17"/>
      <c r="X202" s="17"/>
      <c r="Y202" s="17"/>
      <c r="Z202" s="13"/>
      <c r="AA202" s="13"/>
      <c r="AB202" s="13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3"/>
    </row>
    <row r="203" spans="1:45" ht="40.5" customHeight="1" x14ac:dyDescent="0.2">
      <c r="A203" s="19"/>
      <c r="B203" s="14"/>
      <c r="C203" s="15"/>
      <c r="D203" s="15"/>
      <c r="E203" s="13"/>
      <c r="F203" s="34" t="str" cm="1">
        <f t="array" ref="F203">IF($A203="","",GetMatchingValue($XFD$8,"Original","Control Number",F$2,$A203))</f>
        <v/>
      </c>
      <c r="G203" s="34" t="str" cm="1">
        <f t="array" ref="G203">IF($A203="","",GetMatchingValue($XFD$8,"Original","Control Number",G$2,$A203))</f>
        <v/>
      </c>
      <c r="H203" s="34" t="str" cm="1">
        <f t="array" ref="H203">IF($A203="","",GetMatchingValue($XFD$8,"Original","Control Number",H$2,$A203))</f>
        <v/>
      </c>
      <c r="I203" s="13"/>
      <c r="J203" s="13" t="str" cm="1">
        <f t="array" ref="J203">IF($A203="","",CheckControlNumberExists($XFD$9, "Original", $A203))</f>
        <v/>
      </c>
      <c r="K203" s="34" t="str" cm="1">
        <f t="array" ref="K203">IF($A203="","",IF($J203="No","",GetMatchingValue($XFD$9,"Original","Control Number",K$2,$A203)))</f>
        <v/>
      </c>
      <c r="L203" s="34" t="str" cm="1">
        <f t="array" ref="L203">IF($A203="","",IF($J203="No","",GetMatchingValue($XFD$9,"Original","Control Number",L$2,$A203)))</f>
        <v/>
      </c>
      <c r="M203" s="13" t="str">
        <f t="shared" ca="1" si="5"/>
        <v/>
      </c>
      <c r="N203" s="16"/>
      <c r="O203" s="34" t="str" cm="1">
        <f t="array" ref="O203">IF($A203="","",IF($J203="No","",GetMatchingValue($XFD$9,"Original","Control Number",O$2,$A203)))</f>
        <v/>
      </c>
      <c r="P203" s="34" t="str" cm="1">
        <f t="array" ref="P203">IF($A203="","",IF($J203="No","",GetMatchingValue($XFD$9,"Original","Control Number",P$2,$A203)))</f>
        <v/>
      </c>
      <c r="Q203" s="34" t="str" cm="1">
        <f t="array" ref="Q203">IF($A203="","",IF($J203="No","",GetMatchingValue($XFD$9,"Original","Control Number",Q$2,$A203)))</f>
        <v/>
      </c>
      <c r="R203" s="34" t="str" cm="1">
        <f t="array" ref="R203">IF($A203="","",IF($J203="No","",GetMatchingValue($XFD$9,"Original","Control Number",R$2,$A203)))</f>
        <v/>
      </c>
      <c r="S203" s="34" t="str" cm="1">
        <f t="array" ref="S203">IF($A203="","",IF($J203="No","",GetMatchingValue($XFD$9,"Original","Control Number",S$2,$A203)))</f>
        <v/>
      </c>
      <c r="T203" s="34" t="str" cm="1">
        <f t="array" ref="T203">IF($A203="","",IF($J203="No","",GetMatchingValue($XFD$9,"Original","Control Number",T$2,$A203)))</f>
        <v/>
      </c>
      <c r="U203" s="34" t="str" cm="1">
        <f t="array" ref="U203">IF($A203="","",IF($J203="No","",GetMatchingValue($XFD$9,"Original","Control Number",U$2,$A203)))</f>
        <v/>
      </c>
      <c r="V203" s="14"/>
      <c r="W203" s="17"/>
      <c r="X203" s="17"/>
      <c r="Y203" s="17"/>
      <c r="Z203" s="13"/>
      <c r="AA203" s="13"/>
      <c r="AB203" s="13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3"/>
    </row>
    <row r="204" spans="1:45" ht="40.5" customHeight="1" x14ac:dyDescent="0.2">
      <c r="A204" s="19"/>
      <c r="B204" s="14"/>
      <c r="C204" s="15"/>
      <c r="D204" s="15"/>
      <c r="E204" s="13"/>
      <c r="F204" s="34" t="str" cm="1">
        <f t="array" ref="F204">IF($A204="","",GetMatchingValue($XFD$8,"Original","Control Number",F$2,$A204))</f>
        <v/>
      </c>
      <c r="G204" s="34" t="str" cm="1">
        <f t="array" ref="G204">IF($A204="","",GetMatchingValue($XFD$8,"Original","Control Number",G$2,$A204))</f>
        <v/>
      </c>
      <c r="H204" s="34" t="str" cm="1">
        <f t="array" ref="H204">IF($A204="","",GetMatchingValue($XFD$8,"Original","Control Number",H$2,$A204))</f>
        <v/>
      </c>
      <c r="I204" s="13"/>
      <c r="J204" s="13" t="str" cm="1">
        <f t="array" ref="J204">IF($A204="","",CheckControlNumberExists($XFD$9, "Original", $A204))</f>
        <v/>
      </c>
      <c r="K204" s="34" t="str" cm="1">
        <f t="array" ref="K204">IF($A204="","",IF($J204="No","",GetMatchingValue($XFD$9,"Original","Control Number",K$2,$A204)))</f>
        <v/>
      </c>
      <c r="L204" s="34" t="str" cm="1">
        <f t="array" ref="L204">IF($A204="","",IF($J204="No","",GetMatchingValue($XFD$9,"Original","Control Number",L$2,$A204)))</f>
        <v/>
      </c>
      <c r="M204" s="13" t="str">
        <f t="shared" ca="1" si="5"/>
        <v/>
      </c>
      <c r="N204" s="16"/>
      <c r="O204" s="34" t="str" cm="1">
        <f t="array" ref="O204">IF($A204="","",IF($J204="No","",GetMatchingValue($XFD$9,"Original","Control Number",O$2,$A204)))</f>
        <v/>
      </c>
      <c r="P204" s="34" t="str" cm="1">
        <f t="array" ref="P204">IF($A204="","",IF($J204="No","",GetMatchingValue($XFD$9,"Original","Control Number",P$2,$A204)))</f>
        <v/>
      </c>
      <c r="Q204" s="34" t="str" cm="1">
        <f t="array" ref="Q204">IF($A204="","",IF($J204="No","",GetMatchingValue($XFD$9,"Original","Control Number",Q$2,$A204)))</f>
        <v/>
      </c>
      <c r="R204" s="34" t="str" cm="1">
        <f t="array" ref="R204">IF($A204="","",IF($J204="No","",GetMatchingValue($XFD$9,"Original","Control Number",R$2,$A204)))</f>
        <v/>
      </c>
      <c r="S204" s="34" t="str" cm="1">
        <f t="array" ref="S204">IF($A204="","",IF($J204="No","",GetMatchingValue($XFD$9,"Original","Control Number",S$2,$A204)))</f>
        <v/>
      </c>
      <c r="T204" s="34" t="str" cm="1">
        <f t="array" ref="T204">IF($A204="","",IF($J204="No","",GetMatchingValue($XFD$9,"Original","Control Number",T$2,$A204)))</f>
        <v/>
      </c>
      <c r="U204" s="34" t="str" cm="1">
        <f t="array" ref="U204">IF($A204="","",IF($J204="No","",GetMatchingValue($XFD$9,"Original","Control Number",U$2,$A204)))</f>
        <v/>
      </c>
      <c r="V204" s="14"/>
      <c r="W204" s="17"/>
      <c r="X204" s="17"/>
      <c r="Y204" s="17"/>
      <c r="Z204" s="13"/>
      <c r="AA204" s="13"/>
      <c r="AB204" s="13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3"/>
    </row>
    <row r="205" spans="1:45" ht="40.5" customHeight="1" x14ac:dyDescent="0.2">
      <c r="A205" s="19"/>
      <c r="B205" s="14"/>
      <c r="C205" s="15"/>
      <c r="D205" s="15"/>
      <c r="E205" s="13"/>
      <c r="F205" s="34" t="str" cm="1">
        <f t="array" ref="F205">IF($A205="","",GetMatchingValue($XFD$8,"Original","Control Number",F$2,$A205))</f>
        <v/>
      </c>
      <c r="G205" s="34" t="str" cm="1">
        <f t="array" ref="G205">IF($A205="","",GetMatchingValue($XFD$8,"Original","Control Number",G$2,$A205))</f>
        <v/>
      </c>
      <c r="H205" s="34" t="str" cm="1">
        <f t="array" ref="H205">IF($A205="","",GetMatchingValue($XFD$8,"Original","Control Number",H$2,$A205))</f>
        <v/>
      </c>
      <c r="I205" s="13"/>
      <c r="J205" s="13" t="str" cm="1">
        <f t="array" ref="J205">IF($A205="","",CheckControlNumberExists($XFD$9, "Original", $A205))</f>
        <v/>
      </c>
      <c r="K205" s="34" t="str" cm="1">
        <f t="array" ref="K205">IF($A205="","",IF($J205="No","",GetMatchingValue($XFD$9,"Original","Control Number",K$2,$A205)))</f>
        <v/>
      </c>
      <c r="L205" s="34" t="str" cm="1">
        <f t="array" ref="L205">IF($A205="","",IF($J205="No","",GetMatchingValue($XFD$9,"Original","Control Number",L$2,$A205)))</f>
        <v/>
      </c>
      <c r="M205" s="13" t="str">
        <f t="shared" ca="1" si="5"/>
        <v/>
      </c>
      <c r="N205" s="16"/>
      <c r="O205" s="34" t="str" cm="1">
        <f t="array" ref="O205">IF($A205="","",IF($J205="No","",GetMatchingValue($XFD$9,"Original","Control Number",O$2,$A205)))</f>
        <v/>
      </c>
      <c r="P205" s="34" t="str" cm="1">
        <f t="array" ref="P205">IF($A205="","",IF($J205="No","",GetMatchingValue($XFD$9,"Original","Control Number",P$2,$A205)))</f>
        <v/>
      </c>
      <c r="Q205" s="34" t="str" cm="1">
        <f t="array" ref="Q205">IF($A205="","",IF($J205="No","",GetMatchingValue($XFD$9,"Original","Control Number",Q$2,$A205)))</f>
        <v/>
      </c>
      <c r="R205" s="34" t="str" cm="1">
        <f t="array" ref="R205">IF($A205="","",IF($J205="No","",GetMatchingValue($XFD$9,"Original","Control Number",R$2,$A205)))</f>
        <v/>
      </c>
      <c r="S205" s="34" t="str" cm="1">
        <f t="array" ref="S205">IF($A205="","",IF($J205="No","",GetMatchingValue($XFD$9,"Original","Control Number",S$2,$A205)))</f>
        <v/>
      </c>
      <c r="T205" s="34" t="str" cm="1">
        <f t="array" ref="T205">IF($A205="","",IF($J205="No","",GetMatchingValue($XFD$9,"Original","Control Number",T$2,$A205)))</f>
        <v/>
      </c>
      <c r="U205" s="34" t="str" cm="1">
        <f t="array" ref="U205">IF($A205="","",IF($J205="No","",GetMatchingValue($XFD$9,"Original","Control Number",U$2,$A205)))</f>
        <v/>
      </c>
      <c r="V205" s="14"/>
      <c r="W205" s="17"/>
      <c r="X205" s="17"/>
      <c r="Y205" s="17"/>
      <c r="Z205" s="13"/>
      <c r="AA205" s="13"/>
      <c r="AB205" s="13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3"/>
    </row>
    <row r="206" spans="1:45" ht="40.5" customHeight="1" x14ac:dyDescent="0.2">
      <c r="A206" s="19"/>
      <c r="B206" s="14"/>
      <c r="C206" s="15"/>
      <c r="D206" s="15"/>
      <c r="E206" s="13"/>
      <c r="F206" s="34" t="str" cm="1">
        <f t="array" ref="F206">IF($A206="","",GetMatchingValue($XFD$8,"Original","Control Number",F$2,$A206))</f>
        <v/>
      </c>
      <c r="G206" s="34" t="str" cm="1">
        <f t="array" ref="G206">IF($A206="","",GetMatchingValue($XFD$8,"Original","Control Number",G$2,$A206))</f>
        <v/>
      </c>
      <c r="H206" s="34" t="str" cm="1">
        <f t="array" ref="H206">IF($A206="","",GetMatchingValue($XFD$8,"Original","Control Number",H$2,$A206))</f>
        <v/>
      </c>
      <c r="I206" s="13"/>
      <c r="J206" s="13" t="str" cm="1">
        <f t="array" ref="J206">IF($A206="","",CheckControlNumberExists($XFD$9, "Original", $A206))</f>
        <v/>
      </c>
      <c r="K206" s="34" t="str" cm="1">
        <f t="array" ref="K206">IF($A206="","",IF($J206="No","",GetMatchingValue($XFD$9,"Original","Control Number",K$2,$A206)))</f>
        <v/>
      </c>
      <c r="L206" s="34" t="str" cm="1">
        <f t="array" ref="L206">IF($A206="","",IF($J206="No","",GetMatchingValue($XFD$9,"Original","Control Number",L$2,$A206)))</f>
        <v/>
      </c>
      <c r="M206" s="13" t="str">
        <f t="shared" ca="1" si="5"/>
        <v/>
      </c>
      <c r="N206" s="16"/>
      <c r="O206" s="34" t="str" cm="1">
        <f t="array" ref="O206">IF($A206="","",IF($J206="No","",GetMatchingValue($XFD$9,"Original","Control Number",O$2,$A206)))</f>
        <v/>
      </c>
      <c r="P206" s="34" t="str" cm="1">
        <f t="array" ref="P206">IF($A206="","",IF($J206="No","",GetMatchingValue($XFD$9,"Original","Control Number",P$2,$A206)))</f>
        <v/>
      </c>
      <c r="Q206" s="34" t="str" cm="1">
        <f t="array" ref="Q206">IF($A206="","",IF($J206="No","",GetMatchingValue($XFD$9,"Original","Control Number",Q$2,$A206)))</f>
        <v/>
      </c>
      <c r="R206" s="34" t="str" cm="1">
        <f t="array" ref="R206">IF($A206="","",IF($J206="No","",GetMatchingValue($XFD$9,"Original","Control Number",R$2,$A206)))</f>
        <v/>
      </c>
      <c r="S206" s="34" t="str" cm="1">
        <f t="array" ref="S206">IF($A206="","",IF($J206="No","",GetMatchingValue($XFD$9,"Original","Control Number",S$2,$A206)))</f>
        <v/>
      </c>
      <c r="T206" s="34" t="str" cm="1">
        <f t="array" ref="T206">IF($A206="","",IF($J206="No","",GetMatchingValue($XFD$9,"Original","Control Number",T$2,$A206)))</f>
        <v/>
      </c>
      <c r="U206" s="34" t="str" cm="1">
        <f t="array" ref="U206">IF($A206="","",IF($J206="No","",GetMatchingValue($XFD$9,"Original","Control Number",U$2,$A206)))</f>
        <v/>
      </c>
      <c r="V206" s="14"/>
      <c r="W206" s="17"/>
      <c r="X206" s="17"/>
      <c r="Y206" s="17"/>
      <c r="Z206" s="13"/>
      <c r="AA206" s="13"/>
      <c r="AB206" s="13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3"/>
    </row>
    <row r="207" spans="1:45" ht="40.5" customHeight="1" x14ac:dyDescent="0.2">
      <c r="A207" s="19"/>
      <c r="B207" s="14"/>
      <c r="C207" s="15"/>
      <c r="D207" s="15"/>
      <c r="E207" s="13"/>
      <c r="F207" s="34" t="str" cm="1">
        <f t="array" ref="F207">IF($A207="","",GetMatchingValue($XFD$8,"Original","Control Number",F$2,$A207))</f>
        <v/>
      </c>
      <c r="G207" s="34" t="str" cm="1">
        <f t="array" ref="G207">IF($A207="","",GetMatchingValue($XFD$8,"Original","Control Number",G$2,$A207))</f>
        <v/>
      </c>
      <c r="H207" s="34" t="str" cm="1">
        <f t="array" ref="H207">IF($A207="","",GetMatchingValue($XFD$8,"Original","Control Number",H$2,$A207))</f>
        <v/>
      </c>
      <c r="I207" s="13"/>
      <c r="J207" s="13" t="str" cm="1">
        <f t="array" ref="J207">IF($A207="","",CheckControlNumberExists($XFD$9, "Original", $A207))</f>
        <v/>
      </c>
      <c r="K207" s="34" t="str" cm="1">
        <f t="array" ref="K207">IF($A207="","",IF($J207="No","",GetMatchingValue($XFD$9,"Original","Control Number",K$2,$A207)))</f>
        <v/>
      </c>
      <c r="L207" s="34" t="str" cm="1">
        <f t="array" ref="L207">IF($A207="","",IF($J207="No","",GetMatchingValue($XFD$9,"Original","Control Number",L$2,$A207)))</f>
        <v/>
      </c>
      <c r="M207" s="13" t="str">
        <f t="shared" ca="1" si="5"/>
        <v/>
      </c>
      <c r="N207" s="16"/>
      <c r="O207" s="34" t="str" cm="1">
        <f t="array" ref="O207">IF($A207="","",IF($J207="No","",GetMatchingValue($XFD$9,"Original","Control Number",O$2,$A207)))</f>
        <v/>
      </c>
      <c r="P207" s="34" t="str" cm="1">
        <f t="array" ref="P207">IF($A207="","",IF($J207="No","",GetMatchingValue($XFD$9,"Original","Control Number",P$2,$A207)))</f>
        <v/>
      </c>
      <c r="Q207" s="34" t="str" cm="1">
        <f t="array" ref="Q207">IF($A207="","",IF($J207="No","",GetMatchingValue($XFD$9,"Original","Control Number",Q$2,$A207)))</f>
        <v/>
      </c>
      <c r="R207" s="34" t="str" cm="1">
        <f t="array" ref="R207">IF($A207="","",IF($J207="No","",GetMatchingValue($XFD$9,"Original","Control Number",R$2,$A207)))</f>
        <v/>
      </c>
      <c r="S207" s="34" t="str" cm="1">
        <f t="array" ref="S207">IF($A207="","",IF($J207="No","",GetMatchingValue($XFD$9,"Original","Control Number",S$2,$A207)))</f>
        <v/>
      </c>
      <c r="T207" s="34" t="str" cm="1">
        <f t="array" ref="T207">IF($A207="","",IF($J207="No","",GetMatchingValue($XFD$9,"Original","Control Number",T$2,$A207)))</f>
        <v/>
      </c>
      <c r="U207" s="34" t="str" cm="1">
        <f t="array" ref="U207">IF($A207="","",IF($J207="No","",GetMatchingValue($XFD$9,"Original","Control Number",U$2,$A207)))</f>
        <v/>
      </c>
      <c r="V207" s="14"/>
      <c r="W207" s="17"/>
      <c r="X207" s="17"/>
      <c r="Y207" s="17"/>
      <c r="Z207" s="13"/>
      <c r="AA207" s="13"/>
      <c r="AB207" s="13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3"/>
    </row>
    <row r="208" spans="1:45" ht="40.5" customHeight="1" x14ac:dyDescent="0.2">
      <c r="A208" s="19"/>
      <c r="B208" s="14"/>
      <c r="C208" s="15"/>
      <c r="D208" s="15"/>
      <c r="E208" s="13"/>
      <c r="F208" s="34" t="str" cm="1">
        <f t="array" ref="F208">IF($A208="","",GetMatchingValue($XFD$8,"Original","Control Number",F$2,$A208))</f>
        <v/>
      </c>
      <c r="G208" s="34" t="str" cm="1">
        <f t="array" ref="G208">IF($A208="","",GetMatchingValue($XFD$8,"Original","Control Number",G$2,$A208))</f>
        <v/>
      </c>
      <c r="H208" s="34" t="str" cm="1">
        <f t="array" ref="H208">IF($A208="","",GetMatchingValue($XFD$8,"Original","Control Number",H$2,$A208))</f>
        <v/>
      </c>
      <c r="I208" s="13"/>
      <c r="J208" s="13" t="str" cm="1">
        <f t="array" ref="J208">IF($A208="","",CheckControlNumberExists($XFD$9, "Original", $A208))</f>
        <v/>
      </c>
      <c r="K208" s="34" t="str" cm="1">
        <f t="array" ref="K208">IF($A208="","",IF($J208="No","",GetMatchingValue($XFD$9,"Original","Control Number",K$2,$A208)))</f>
        <v/>
      </c>
      <c r="L208" s="34" t="str" cm="1">
        <f t="array" ref="L208">IF($A208="","",IF($J208="No","",GetMatchingValue($XFD$9,"Original","Control Number",L$2,$A208)))</f>
        <v/>
      </c>
      <c r="M208" s="13" t="str">
        <f t="shared" ca="1" si="5"/>
        <v/>
      </c>
      <c r="N208" s="16"/>
      <c r="O208" s="34" t="str" cm="1">
        <f t="array" ref="O208">IF($A208="","",IF($J208="No","",GetMatchingValue($XFD$9,"Original","Control Number",O$2,$A208)))</f>
        <v/>
      </c>
      <c r="P208" s="34" t="str" cm="1">
        <f t="array" ref="P208">IF($A208="","",IF($J208="No","",GetMatchingValue($XFD$9,"Original","Control Number",P$2,$A208)))</f>
        <v/>
      </c>
      <c r="Q208" s="34" t="str" cm="1">
        <f t="array" ref="Q208">IF($A208="","",IF($J208="No","",GetMatchingValue($XFD$9,"Original","Control Number",Q$2,$A208)))</f>
        <v/>
      </c>
      <c r="R208" s="34" t="str" cm="1">
        <f t="array" ref="R208">IF($A208="","",IF($J208="No","",GetMatchingValue($XFD$9,"Original","Control Number",R$2,$A208)))</f>
        <v/>
      </c>
      <c r="S208" s="34" t="str" cm="1">
        <f t="array" ref="S208">IF($A208="","",IF($J208="No","",GetMatchingValue($XFD$9,"Original","Control Number",S$2,$A208)))</f>
        <v/>
      </c>
      <c r="T208" s="34" t="str" cm="1">
        <f t="array" ref="T208">IF($A208="","",IF($J208="No","",GetMatchingValue($XFD$9,"Original","Control Number",T$2,$A208)))</f>
        <v/>
      </c>
      <c r="U208" s="34" t="str" cm="1">
        <f t="array" ref="U208">IF($A208="","",IF($J208="No","",GetMatchingValue($XFD$9,"Original","Control Number",U$2,$A208)))</f>
        <v/>
      </c>
      <c r="V208" s="14"/>
      <c r="W208" s="17"/>
      <c r="X208" s="17"/>
      <c r="Y208" s="17"/>
      <c r="Z208" s="13"/>
      <c r="AA208" s="13"/>
      <c r="AB208" s="13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3"/>
    </row>
    <row r="209" spans="1:45" ht="40.5" customHeight="1" x14ac:dyDescent="0.2">
      <c r="A209" s="19"/>
      <c r="B209" s="14"/>
      <c r="C209" s="15"/>
      <c r="D209" s="15"/>
      <c r="E209" s="13"/>
      <c r="F209" s="34" t="str" cm="1">
        <f t="array" ref="F209">IF($A209="","",GetMatchingValue($XFD$8,"Original","Control Number",F$2,$A209))</f>
        <v/>
      </c>
      <c r="G209" s="34" t="str" cm="1">
        <f t="array" ref="G209">IF($A209="","",GetMatchingValue($XFD$8,"Original","Control Number",G$2,$A209))</f>
        <v/>
      </c>
      <c r="H209" s="34" t="str" cm="1">
        <f t="array" ref="H209">IF($A209="","",GetMatchingValue($XFD$8,"Original","Control Number",H$2,$A209))</f>
        <v/>
      </c>
      <c r="I209" s="13"/>
      <c r="J209" s="13" t="str" cm="1">
        <f t="array" ref="J209">IF($A209="","",CheckControlNumberExists($XFD$9, "Original", $A209))</f>
        <v/>
      </c>
      <c r="K209" s="34" t="str" cm="1">
        <f t="array" ref="K209">IF($A209="","",IF($J209="No","",GetMatchingValue($XFD$9,"Original","Control Number",K$2,$A209)))</f>
        <v/>
      </c>
      <c r="L209" s="34" t="str" cm="1">
        <f t="array" ref="L209">IF($A209="","",IF($J209="No","",GetMatchingValue($XFD$9,"Original","Control Number",L$2,$A209)))</f>
        <v/>
      </c>
      <c r="M209" s="13" t="str">
        <f t="shared" ca="1" si="5"/>
        <v/>
      </c>
      <c r="N209" s="16"/>
      <c r="O209" s="34" t="str" cm="1">
        <f t="array" ref="O209">IF($A209="","",IF($J209="No","",GetMatchingValue($XFD$9,"Original","Control Number",O$2,$A209)))</f>
        <v/>
      </c>
      <c r="P209" s="34" t="str" cm="1">
        <f t="array" ref="P209">IF($A209="","",IF($J209="No","",GetMatchingValue($XFD$9,"Original","Control Number",P$2,$A209)))</f>
        <v/>
      </c>
      <c r="Q209" s="34" t="str" cm="1">
        <f t="array" ref="Q209">IF($A209="","",IF($J209="No","",GetMatchingValue($XFD$9,"Original","Control Number",Q$2,$A209)))</f>
        <v/>
      </c>
      <c r="R209" s="34" t="str" cm="1">
        <f t="array" ref="R209">IF($A209="","",IF($J209="No","",GetMatchingValue($XFD$9,"Original","Control Number",R$2,$A209)))</f>
        <v/>
      </c>
      <c r="S209" s="34" t="str" cm="1">
        <f t="array" ref="S209">IF($A209="","",IF($J209="No","",GetMatchingValue($XFD$9,"Original","Control Number",S$2,$A209)))</f>
        <v/>
      </c>
      <c r="T209" s="34" t="str" cm="1">
        <f t="array" ref="T209">IF($A209="","",IF($J209="No","",GetMatchingValue($XFD$9,"Original","Control Number",T$2,$A209)))</f>
        <v/>
      </c>
      <c r="U209" s="34" t="str" cm="1">
        <f t="array" ref="U209">IF($A209="","",IF($J209="No","",GetMatchingValue($XFD$9,"Original","Control Number",U$2,$A209)))</f>
        <v/>
      </c>
      <c r="V209" s="14"/>
      <c r="W209" s="17"/>
      <c r="X209" s="17"/>
      <c r="Y209" s="17"/>
      <c r="Z209" s="13"/>
      <c r="AA209" s="13"/>
      <c r="AB209" s="13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3"/>
    </row>
    <row r="210" spans="1:45" ht="40.5" customHeight="1" x14ac:dyDescent="0.2">
      <c r="A210" s="19"/>
      <c r="B210" s="14"/>
      <c r="C210" s="15"/>
      <c r="D210" s="15"/>
      <c r="E210" s="13"/>
      <c r="F210" s="34" t="str" cm="1">
        <f t="array" ref="F210">IF($A210="","",GetMatchingValue($XFD$8,"Original","Control Number",F$2,$A210))</f>
        <v/>
      </c>
      <c r="G210" s="34" t="str" cm="1">
        <f t="array" ref="G210">IF($A210="","",GetMatchingValue($XFD$8,"Original","Control Number",G$2,$A210))</f>
        <v/>
      </c>
      <c r="H210" s="34" t="str" cm="1">
        <f t="array" ref="H210">IF($A210="","",GetMatchingValue($XFD$8,"Original","Control Number",H$2,$A210))</f>
        <v/>
      </c>
      <c r="I210" s="13"/>
      <c r="J210" s="13" t="str" cm="1">
        <f t="array" ref="J210">IF($A210="","",CheckControlNumberExists($XFD$9, "Original", $A210))</f>
        <v/>
      </c>
      <c r="K210" s="34" t="str" cm="1">
        <f t="array" ref="K210">IF($A210="","",IF($J210="No","",GetMatchingValue($XFD$9,"Original","Control Number",K$2,$A210)))</f>
        <v/>
      </c>
      <c r="L210" s="34" t="str" cm="1">
        <f t="array" ref="L210">IF($A210="","",IF($J210="No","",GetMatchingValue($XFD$9,"Original","Control Number",L$2,$A210)))</f>
        <v/>
      </c>
      <c r="M210" s="13" t="str">
        <f t="shared" ca="1" si="5"/>
        <v/>
      </c>
      <c r="N210" s="16"/>
      <c r="O210" s="34" t="str" cm="1">
        <f t="array" ref="O210">IF($A210="","",IF($J210="No","",GetMatchingValue($XFD$9,"Original","Control Number",O$2,$A210)))</f>
        <v/>
      </c>
      <c r="P210" s="34" t="str" cm="1">
        <f t="array" ref="P210">IF($A210="","",IF($J210="No","",GetMatchingValue($XFD$9,"Original","Control Number",P$2,$A210)))</f>
        <v/>
      </c>
      <c r="Q210" s="34" t="str" cm="1">
        <f t="array" ref="Q210">IF($A210="","",IF($J210="No","",GetMatchingValue($XFD$9,"Original","Control Number",Q$2,$A210)))</f>
        <v/>
      </c>
      <c r="R210" s="34" t="str" cm="1">
        <f t="array" ref="R210">IF($A210="","",IF($J210="No","",GetMatchingValue($XFD$9,"Original","Control Number",R$2,$A210)))</f>
        <v/>
      </c>
      <c r="S210" s="34" t="str" cm="1">
        <f t="array" ref="S210">IF($A210="","",IF($J210="No","",GetMatchingValue($XFD$9,"Original","Control Number",S$2,$A210)))</f>
        <v/>
      </c>
      <c r="T210" s="34" t="str" cm="1">
        <f t="array" ref="T210">IF($A210="","",IF($J210="No","",GetMatchingValue($XFD$9,"Original","Control Number",T$2,$A210)))</f>
        <v/>
      </c>
      <c r="U210" s="34" t="str" cm="1">
        <f t="array" ref="U210">IF($A210="","",IF($J210="No","",GetMatchingValue($XFD$9,"Original","Control Number",U$2,$A210)))</f>
        <v/>
      </c>
      <c r="V210" s="14"/>
      <c r="W210" s="17"/>
      <c r="X210" s="17"/>
      <c r="Y210" s="17"/>
      <c r="Z210" s="13"/>
      <c r="AA210" s="13"/>
      <c r="AB210" s="13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3"/>
    </row>
    <row r="211" spans="1:45" ht="40.5" customHeight="1" x14ac:dyDescent="0.2">
      <c r="A211" s="19"/>
      <c r="B211" s="14"/>
      <c r="C211" s="15"/>
      <c r="D211" s="15"/>
      <c r="E211" s="13"/>
      <c r="F211" s="34" t="str" cm="1">
        <f t="array" ref="F211">IF($A211="","",GetMatchingValue($XFD$8,"Original","Control Number",F$2,$A211))</f>
        <v/>
      </c>
      <c r="G211" s="34" t="str" cm="1">
        <f t="array" ref="G211">IF($A211="","",GetMatchingValue($XFD$8,"Original","Control Number",G$2,$A211))</f>
        <v/>
      </c>
      <c r="H211" s="34" t="str" cm="1">
        <f t="array" ref="H211">IF($A211="","",GetMatchingValue($XFD$8,"Original","Control Number",H$2,$A211))</f>
        <v/>
      </c>
      <c r="I211" s="13"/>
      <c r="J211" s="13" t="str" cm="1">
        <f t="array" ref="J211">IF($A211="","",CheckControlNumberExists($XFD$9, "Original", $A211))</f>
        <v/>
      </c>
      <c r="K211" s="34" t="str" cm="1">
        <f t="array" ref="K211">IF($A211="","",IF($J211="No","",GetMatchingValue($XFD$9,"Original","Control Number",K$2,$A211)))</f>
        <v/>
      </c>
      <c r="L211" s="34" t="str" cm="1">
        <f t="array" ref="L211">IF($A211="","",IF($J211="No","",GetMatchingValue($XFD$9,"Original","Control Number",L$2,$A211)))</f>
        <v/>
      </c>
      <c r="M211" s="13" t="str">
        <f t="shared" ca="1" si="5"/>
        <v/>
      </c>
      <c r="N211" s="16"/>
      <c r="O211" s="34" t="str" cm="1">
        <f t="array" ref="O211">IF($A211="","",IF($J211="No","",GetMatchingValue($XFD$9,"Original","Control Number",O$2,$A211)))</f>
        <v/>
      </c>
      <c r="P211" s="34" t="str" cm="1">
        <f t="array" ref="P211">IF($A211="","",IF($J211="No","",GetMatchingValue($XFD$9,"Original","Control Number",P$2,$A211)))</f>
        <v/>
      </c>
      <c r="Q211" s="34" t="str" cm="1">
        <f t="array" ref="Q211">IF($A211="","",IF($J211="No","",GetMatchingValue($XFD$9,"Original","Control Number",Q$2,$A211)))</f>
        <v/>
      </c>
      <c r="R211" s="34" t="str" cm="1">
        <f t="array" ref="R211">IF($A211="","",IF($J211="No","",GetMatchingValue($XFD$9,"Original","Control Number",R$2,$A211)))</f>
        <v/>
      </c>
      <c r="S211" s="34" t="str" cm="1">
        <f t="array" ref="S211">IF($A211="","",IF($J211="No","",GetMatchingValue($XFD$9,"Original","Control Number",S$2,$A211)))</f>
        <v/>
      </c>
      <c r="T211" s="34" t="str" cm="1">
        <f t="array" ref="T211">IF($A211="","",IF($J211="No","",GetMatchingValue($XFD$9,"Original","Control Number",T$2,$A211)))</f>
        <v/>
      </c>
      <c r="U211" s="34" t="str" cm="1">
        <f t="array" ref="U211">IF($A211="","",IF($J211="No","",GetMatchingValue($XFD$9,"Original","Control Number",U$2,$A211)))</f>
        <v/>
      </c>
      <c r="V211" s="14"/>
      <c r="W211" s="17"/>
      <c r="X211" s="17"/>
      <c r="Y211" s="17"/>
      <c r="Z211" s="13"/>
      <c r="AA211" s="13"/>
      <c r="AB211" s="13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3"/>
    </row>
    <row r="212" spans="1:45" ht="40.5" customHeight="1" x14ac:dyDescent="0.2">
      <c r="A212" s="19"/>
      <c r="B212" s="14"/>
      <c r="C212" s="15"/>
      <c r="D212" s="15"/>
      <c r="E212" s="13"/>
      <c r="F212" s="34" t="str" cm="1">
        <f t="array" ref="F212">IF($A212="","",GetMatchingValue($XFD$8,"Original","Control Number",F$2,$A212))</f>
        <v/>
      </c>
      <c r="G212" s="34" t="str" cm="1">
        <f t="array" ref="G212">IF($A212="","",GetMatchingValue($XFD$8,"Original","Control Number",G$2,$A212))</f>
        <v/>
      </c>
      <c r="H212" s="34" t="str" cm="1">
        <f t="array" ref="H212">IF($A212="","",GetMatchingValue($XFD$8,"Original","Control Number",H$2,$A212))</f>
        <v/>
      </c>
      <c r="I212" s="13"/>
      <c r="J212" s="13" t="str" cm="1">
        <f t="array" ref="J212">IF($A212="","",CheckControlNumberExists($XFD$9, "Original", $A212))</f>
        <v/>
      </c>
      <c r="K212" s="34" t="str" cm="1">
        <f t="array" ref="K212">IF($A212="","",IF($J212="No","",GetMatchingValue($XFD$9,"Original","Control Number",K$2,$A212)))</f>
        <v/>
      </c>
      <c r="L212" s="34" t="str" cm="1">
        <f t="array" ref="L212">IF($A212="","",IF($J212="No","",GetMatchingValue($XFD$9,"Original","Control Number",L$2,$A212)))</f>
        <v/>
      </c>
      <c r="M212" s="13" t="str">
        <f t="shared" ca="1" si="5"/>
        <v/>
      </c>
      <c r="N212" s="16"/>
      <c r="O212" s="34" t="str" cm="1">
        <f t="array" ref="O212">IF($A212="","",IF($J212="No","",GetMatchingValue($XFD$9,"Original","Control Number",O$2,$A212)))</f>
        <v/>
      </c>
      <c r="P212" s="34" t="str" cm="1">
        <f t="array" ref="P212">IF($A212="","",IF($J212="No","",GetMatchingValue($XFD$9,"Original","Control Number",P$2,$A212)))</f>
        <v/>
      </c>
      <c r="Q212" s="34" t="str" cm="1">
        <f t="array" ref="Q212">IF($A212="","",IF($J212="No","",GetMatchingValue($XFD$9,"Original","Control Number",Q$2,$A212)))</f>
        <v/>
      </c>
      <c r="R212" s="34" t="str" cm="1">
        <f t="array" ref="R212">IF($A212="","",IF($J212="No","",GetMatchingValue($XFD$9,"Original","Control Number",R$2,$A212)))</f>
        <v/>
      </c>
      <c r="S212" s="34" t="str" cm="1">
        <f t="array" ref="S212">IF($A212="","",IF($J212="No","",GetMatchingValue($XFD$9,"Original","Control Number",S$2,$A212)))</f>
        <v/>
      </c>
      <c r="T212" s="34" t="str" cm="1">
        <f t="array" ref="T212">IF($A212="","",IF($J212="No","",GetMatchingValue($XFD$9,"Original","Control Number",T$2,$A212)))</f>
        <v/>
      </c>
      <c r="U212" s="34" t="str" cm="1">
        <f t="array" ref="U212">IF($A212="","",IF($J212="No","",GetMatchingValue($XFD$9,"Original","Control Number",U$2,$A212)))</f>
        <v/>
      </c>
      <c r="V212" s="14"/>
      <c r="W212" s="17"/>
      <c r="X212" s="17"/>
      <c r="Y212" s="17"/>
      <c r="Z212" s="13"/>
      <c r="AA212" s="13"/>
      <c r="AB212" s="13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3"/>
    </row>
    <row r="213" spans="1:45" ht="40.5" customHeight="1" x14ac:dyDescent="0.2">
      <c r="A213" s="19"/>
      <c r="B213" s="19"/>
      <c r="C213" s="15"/>
      <c r="D213" s="15"/>
      <c r="E213" s="13"/>
      <c r="F213" s="34" t="str" cm="1">
        <f t="array" ref="F213">IF($A213="","",GetMatchingValue($XFD$8,"Original","Control Number",F$2,$A213))</f>
        <v/>
      </c>
      <c r="G213" s="34" t="str" cm="1">
        <f t="array" ref="G213">IF($A213="","",GetMatchingValue($XFD$8,"Original","Control Number",G$2,$A213))</f>
        <v/>
      </c>
      <c r="H213" s="34" t="str" cm="1">
        <f t="array" ref="H213">IF($A213="","",GetMatchingValue($XFD$8,"Original","Control Number",H$2,$A213))</f>
        <v/>
      </c>
      <c r="I213" s="13"/>
      <c r="J213" s="13" t="str" cm="1">
        <f t="array" ref="J213">IF($A213="","",CheckControlNumberExists($XFD$9, "Original", $A213))</f>
        <v/>
      </c>
      <c r="K213" s="34" t="str" cm="1">
        <f t="array" ref="K213">IF($A213="","",IF($J213="No","",GetMatchingValue($XFD$9,"Original","Control Number",K$2,$A213)))</f>
        <v/>
      </c>
      <c r="L213" s="34" t="str" cm="1">
        <f t="array" ref="L213">IF($A213="","",IF($J213="No","",GetMatchingValue($XFD$9,"Original","Control Number",L$2,$A213)))</f>
        <v/>
      </c>
      <c r="M213" s="13" t="str">
        <f t="shared" ca="1" si="5"/>
        <v/>
      </c>
      <c r="N213" s="16"/>
      <c r="O213" s="34" t="str" cm="1">
        <f t="array" ref="O213">IF($A213="","",IF($J213="No","",GetMatchingValue($XFD$9,"Original","Control Number",O$2,$A213)))</f>
        <v/>
      </c>
      <c r="P213" s="34" t="str" cm="1">
        <f t="array" ref="P213">IF($A213="","",IF($J213="No","",GetMatchingValue($XFD$9,"Original","Control Number",P$2,$A213)))</f>
        <v/>
      </c>
      <c r="Q213" s="34" t="str" cm="1">
        <f t="array" ref="Q213">IF($A213="","",IF($J213="No","",GetMatchingValue($XFD$9,"Original","Control Number",Q$2,$A213)))</f>
        <v/>
      </c>
      <c r="R213" s="34" t="str" cm="1">
        <f t="array" ref="R213">IF($A213="","",IF($J213="No","",GetMatchingValue($XFD$9,"Original","Control Number",R$2,$A213)))</f>
        <v/>
      </c>
      <c r="S213" s="34" t="str" cm="1">
        <f t="array" ref="S213">IF($A213="","",IF($J213="No","",GetMatchingValue($XFD$9,"Original","Control Number",S$2,$A213)))</f>
        <v/>
      </c>
      <c r="T213" s="34" t="str" cm="1">
        <f t="array" ref="T213">IF($A213="","",IF($J213="No","",GetMatchingValue($XFD$9,"Original","Control Number",T$2,$A213)))</f>
        <v/>
      </c>
      <c r="U213" s="34" t="str" cm="1">
        <f t="array" ref="U213">IF($A213="","",IF($J213="No","",GetMatchingValue($XFD$9,"Original","Control Number",U$2,$A213)))</f>
        <v/>
      </c>
      <c r="V213" s="14"/>
      <c r="W213" s="17"/>
      <c r="X213" s="17"/>
      <c r="Y213" s="17"/>
      <c r="Z213" s="13"/>
      <c r="AA213" s="13"/>
      <c r="AB213" s="13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3"/>
    </row>
    <row r="214" spans="1:45" ht="40.5" customHeight="1" x14ac:dyDescent="0.2">
      <c r="A214" s="19"/>
      <c r="B214" s="19"/>
      <c r="C214" s="15"/>
      <c r="D214" s="15"/>
      <c r="E214" s="13"/>
      <c r="F214" s="34" t="str" cm="1">
        <f t="array" ref="F214">IF($A214="","",GetMatchingValue($XFD$8,"Original","Control Number",F$2,$A214))</f>
        <v/>
      </c>
      <c r="G214" s="34" t="str" cm="1">
        <f t="array" ref="G214">IF($A214="","",GetMatchingValue($XFD$8,"Original","Control Number",G$2,$A214))</f>
        <v/>
      </c>
      <c r="H214" s="34" t="str" cm="1">
        <f t="array" ref="H214">IF($A214="","",GetMatchingValue($XFD$8,"Original","Control Number",H$2,$A214))</f>
        <v/>
      </c>
      <c r="I214" s="13"/>
      <c r="J214" s="13" t="str" cm="1">
        <f t="array" ref="J214">IF($A214="","",CheckControlNumberExists($XFD$9, "Original", $A214))</f>
        <v/>
      </c>
      <c r="K214" s="34" t="str" cm="1">
        <f t="array" ref="K214">IF($A214="","",IF($J214="No","",GetMatchingValue($XFD$9,"Original","Control Number",K$2,$A214)))</f>
        <v/>
      </c>
      <c r="L214" s="34" t="str" cm="1">
        <f t="array" ref="L214">IF($A214="","",IF($J214="No","",GetMatchingValue($XFD$9,"Original","Control Number",L$2,$A214)))</f>
        <v/>
      </c>
      <c r="M214" s="13" t="str">
        <f t="shared" ca="1" si="5"/>
        <v/>
      </c>
      <c r="N214" s="16"/>
      <c r="O214" s="34" t="str" cm="1">
        <f t="array" ref="O214">IF($A214="","",IF($J214="No","",GetMatchingValue($XFD$9,"Original","Control Number",O$2,$A214)))</f>
        <v/>
      </c>
      <c r="P214" s="34" t="str" cm="1">
        <f t="array" ref="P214">IF($A214="","",IF($J214="No","",GetMatchingValue($XFD$9,"Original","Control Number",P$2,$A214)))</f>
        <v/>
      </c>
      <c r="Q214" s="34" t="str" cm="1">
        <f t="array" ref="Q214">IF($A214="","",IF($J214="No","",GetMatchingValue($XFD$9,"Original","Control Number",Q$2,$A214)))</f>
        <v/>
      </c>
      <c r="R214" s="34" t="str" cm="1">
        <f t="array" ref="R214">IF($A214="","",IF($J214="No","",GetMatchingValue($XFD$9,"Original","Control Number",R$2,$A214)))</f>
        <v/>
      </c>
      <c r="S214" s="34" t="str" cm="1">
        <f t="array" ref="S214">IF($A214="","",IF($J214="No","",GetMatchingValue($XFD$9,"Original","Control Number",S$2,$A214)))</f>
        <v/>
      </c>
      <c r="T214" s="34" t="str" cm="1">
        <f t="array" ref="T214">IF($A214="","",IF($J214="No","",GetMatchingValue($XFD$9,"Original","Control Number",T$2,$A214)))</f>
        <v/>
      </c>
      <c r="U214" s="34" t="str" cm="1">
        <f t="array" ref="U214">IF($A214="","",IF($J214="No","",GetMatchingValue($XFD$9,"Original","Control Number",U$2,$A214)))</f>
        <v/>
      </c>
      <c r="V214" s="14"/>
      <c r="W214" s="17"/>
      <c r="X214" s="17"/>
      <c r="Y214" s="17"/>
      <c r="Z214" s="13"/>
      <c r="AA214" s="13"/>
      <c r="AB214" s="13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3"/>
    </row>
    <row r="215" spans="1:45" ht="40.5" customHeight="1" x14ac:dyDescent="0.2">
      <c r="A215" s="19"/>
      <c r="B215" s="19"/>
      <c r="C215" s="15"/>
      <c r="D215" s="15"/>
      <c r="E215" s="13"/>
      <c r="F215" s="34" t="str" cm="1">
        <f t="array" ref="F215">IF($A215="","",GetMatchingValue($XFD$8,"Original","Control Number",F$2,$A215))</f>
        <v/>
      </c>
      <c r="G215" s="34" t="str" cm="1">
        <f t="array" ref="G215">IF($A215="","",GetMatchingValue($XFD$8,"Original","Control Number",G$2,$A215))</f>
        <v/>
      </c>
      <c r="H215" s="34" t="str" cm="1">
        <f t="array" ref="H215">IF($A215="","",GetMatchingValue($XFD$8,"Original","Control Number",H$2,$A215))</f>
        <v/>
      </c>
      <c r="I215" s="13"/>
      <c r="J215" s="13" t="str" cm="1">
        <f t="array" ref="J215">IF($A215="","",CheckControlNumberExists($XFD$9, "Original", $A215))</f>
        <v/>
      </c>
      <c r="K215" s="34" t="str" cm="1">
        <f t="array" ref="K215">IF($A215="","",IF($J215="No","",GetMatchingValue($XFD$9,"Original","Control Number",K$2,$A215)))</f>
        <v/>
      </c>
      <c r="L215" s="34" t="str" cm="1">
        <f t="array" ref="L215">IF($A215="","",IF($J215="No","",GetMatchingValue($XFD$9,"Original","Control Number",L$2,$A215)))</f>
        <v/>
      </c>
      <c r="M215" s="13" t="str">
        <f t="shared" ca="1" si="5"/>
        <v/>
      </c>
      <c r="N215" s="16"/>
      <c r="O215" s="34" t="str" cm="1">
        <f t="array" ref="O215">IF($A215="","",IF($J215="No","",GetMatchingValue($XFD$9,"Original","Control Number",O$2,$A215)))</f>
        <v/>
      </c>
      <c r="P215" s="34" t="str" cm="1">
        <f t="array" ref="P215">IF($A215="","",IF($J215="No","",GetMatchingValue($XFD$9,"Original","Control Number",P$2,$A215)))</f>
        <v/>
      </c>
      <c r="Q215" s="34" t="str" cm="1">
        <f t="array" ref="Q215">IF($A215="","",IF($J215="No","",GetMatchingValue($XFD$9,"Original","Control Number",Q$2,$A215)))</f>
        <v/>
      </c>
      <c r="R215" s="34" t="str" cm="1">
        <f t="array" ref="R215">IF($A215="","",IF($J215="No","",GetMatchingValue($XFD$9,"Original","Control Number",R$2,$A215)))</f>
        <v/>
      </c>
      <c r="S215" s="34" t="str" cm="1">
        <f t="array" ref="S215">IF($A215="","",IF($J215="No","",GetMatchingValue($XFD$9,"Original","Control Number",S$2,$A215)))</f>
        <v/>
      </c>
      <c r="T215" s="34" t="str" cm="1">
        <f t="array" ref="T215">IF($A215="","",IF($J215="No","",GetMatchingValue($XFD$9,"Original","Control Number",T$2,$A215)))</f>
        <v/>
      </c>
      <c r="U215" s="34" t="str" cm="1">
        <f t="array" ref="U215">IF($A215="","",IF($J215="No","",GetMatchingValue($XFD$9,"Original","Control Number",U$2,$A215)))</f>
        <v/>
      </c>
      <c r="V215" s="14"/>
      <c r="W215" s="17"/>
      <c r="X215" s="17"/>
      <c r="Y215" s="17"/>
      <c r="Z215" s="13"/>
      <c r="AA215" s="13"/>
      <c r="AB215" s="13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3"/>
    </row>
    <row r="216" spans="1:45" ht="40.5" customHeight="1" x14ac:dyDescent="0.2">
      <c r="A216" s="19"/>
      <c r="B216" s="19"/>
      <c r="C216" s="15"/>
      <c r="D216" s="15"/>
      <c r="E216" s="13"/>
      <c r="F216" s="34" t="str" cm="1">
        <f t="array" ref="F216">IF($A216="","",GetMatchingValue($XFD$8,"Original","Control Number",F$2,$A216))</f>
        <v/>
      </c>
      <c r="G216" s="34" t="str" cm="1">
        <f t="array" ref="G216">IF($A216="","",GetMatchingValue($XFD$8,"Original","Control Number",G$2,$A216))</f>
        <v/>
      </c>
      <c r="H216" s="34" t="str" cm="1">
        <f t="array" ref="H216">IF($A216="","",GetMatchingValue($XFD$8,"Original","Control Number",H$2,$A216))</f>
        <v/>
      </c>
      <c r="I216" s="13"/>
      <c r="J216" s="13" t="str" cm="1">
        <f t="array" ref="J216">IF($A216="","",CheckControlNumberExists($XFD$9, "Original", $A216))</f>
        <v/>
      </c>
      <c r="K216" s="34" t="str" cm="1">
        <f t="array" ref="K216">IF($A216="","",IF($J216="No","",GetMatchingValue($XFD$9,"Original","Control Number",K$2,$A216)))</f>
        <v/>
      </c>
      <c r="L216" s="34" t="str" cm="1">
        <f t="array" ref="L216">IF($A216="","",IF($J216="No","",GetMatchingValue($XFD$9,"Original","Control Number",L$2,$A216)))</f>
        <v/>
      </c>
      <c r="M216" s="13" t="str">
        <f t="shared" ca="1" si="5"/>
        <v/>
      </c>
      <c r="N216" s="16"/>
      <c r="O216" s="34" t="str" cm="1">
        <f t="array" ref="O216">IF($A216="","",IF($J216="No","",GetMatchingValue($XFD$9,"Original","Control Number",O$2,$A216)))</f>
        <v/>
      </c>
      <c r="P216" s="34" t="str" cm="1">
        <f t="array" ref="P216">IF($A216="","",IF($J216="No","",GetMatchingValue($XFD$9,"Original","Control Number",P$2,$A216)))</f>
        <v/>
      </c>
      <c r="Q216" s="34" t="str" cm="1">
        <f t="array" ref="Q216">IF($A216="","",IF($J216="No","",GetMatchingValue($XFD$9,"Original","Control Number",Q$2,$A216)))</f>
        <v/>
      </c>
      <c r="R216" s="34" t="str" cm="1">
        <f t="array" ref="R216">IF($A216="","",IF($J216="No","",GetMatchingValue($XFD$9,"Original","Control Number",R$2,$A216)))</f>
        <v/>
      </c>
      <c r="S216" s="34" t="str" cm="1">
        <f t="array" ref="S216">IF($A216="","",IF($J216="No","",GetMatchingValue($XFD$9,"Original","Control Number",S$2,$A216)))</f>
        <v/>
      </c>
      <c r="T216" s="34" t="str" cm="1">
        <f t="array" ref="T216">IF($A216="","",IF($J216="No","",GetMatchingValue($XFD$9,"Original","Control Number",T$2,$A216)))</f>
        <v/>
      </c>
      <c r="U216" s="34" t="str" cm="1">
        <f t="array" ref="U216">IF($A216="","",IF($J216="No","",GetMatchingValue($XFD$9,"Original","Control Number",U$2,$A216)))</f>
        <v/>
      </c>
      <c r="V216" s="14"/>
      <c r="W216" s="17"/>
      <c r="X216" s="17"/>
      <c r="Y216" s="17"/>
      <c r="Z216" s="13"/>
      <c r="AA216" s="13"/>
      <c r="AB216" s="13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3"/>
    </row>
    <row r="217" spans="1:45" ht="40.5" customHeight="1" x14ac:dyDescent="0.2">
      <c r="A217" s="19"/>
      <c r="B217" s="19"/>
      <c r="C217" s="15"/>
      <c r="D217" s="15"/>
      <c r="E217" s="13"/>
      <c r="F217" s="34" t="str" cm="1">
        <f t="array" ref="F217">IF($A217="","",GetMatchingValue($XFD$8,"Original","Control Number",F$2,$A217))</f>
        <v/>
      </c>
      <c r="G217" s="34" t="str" cm="1">
        <f t="array" ref="G217">IF($A217="","",GetMatchingValue($XFD$8,"Original","Control Number",G$2,$A217))</f>
        <v/>
      </c>
      <c r="H217" s="34" t="str" cm="1">
        <f t="array" ref="H217">IF($A217="","",GetMatchingValue($XFD$8,"Original","Control Number",H$2,$A217))</f>
        <v/>
      </c>
      <c r="I217" s="13"/>
      <c r="J217" s="13" t="str" cm="1">
        <f t="array" ref="J217">IF($A217="","",CheckControlNumberExists($XFD$9, "Original", $A217))</f>
        <v/>
      </c>
      <c r="K217" s="34" t="str" cm="1">
        <f t="array" ref="K217">IF($A217="","",IF($J217="No","",GetMatchingValue($XFD$9,"Original","Control Number",K$2,$A217)))</f>
        <v/>
      </c>
      <c r="L217" s="34" t="str" cm="1">
        <f t="array" ref="L217">IF($A217="","",IF($J217="No","",GetMatchingValue($XFD$9,"Original","Control Number",L$2,$A217)))</f>
        <v/>
      </c>
      <c r="M217" s="13" t="str">
        <f t="shared" ca="1" si="5"/>
        <v/>
      </c>
      <c r="N217" s="16"/>
      <c r="O217" s="34" t="str" cm="1">
        <f t="array" ref="O217">IF($A217="","",IF($J217="No","",GetMatchingValue($XFD$9,"Original","Control Number",O$2,$A217)))</f>
        <v/>
      </c>
      <c r="P217" s="34" t="str" cm="1">
        <f t="array" ref="P217">IF($A217="","",IF($J217="No","",GetMatchingValue($XFD$9,"Original","Control Number",P$2,$A217)))</f>
        <v/>
      </c>
      <c r="Q217" s="34" t="str" cm="1">
        <f t="array" ref="Q217">IF($A217="","",IF($J217="No","",GetMatchingValue($XFD$9,"Original","Control Number",Q$2,$A217)))</f>
        <v/>
      </c>
      <c r="R217" s="34" t="str" cm="1">
        <f t="array" ref="R217">IF($A217="","",IF($J217="No","",GetMatchingValue($XFD$9,"Original","Control Number",R$2,$A217)))</f>
        <v/>
      </c>
      <c r="S217" s="34" t="str" cm="1">
        <f t="array" ref="S217">IF($A217="","",IF($J217="No","",GetMatchingValue($XFD$9,"Original","Control Number",S$2,$A217)))</f>
        <v/>
      </c>
      <c r="T217" s="34" t="str" cm="1">
        <f t="array" ref="T217">IF($A217="","",IF($J217="No","",GetMatchingValue($XFD$9,"Original","Control Number",T$2,$A217)))</f>
        <v/>
      </c>
      <c r="U217" s="34" t="str" cm="1">
        <f t="array" ref="U217">IF($A217="","",IF($J217="No","",GetMatchingValue($XFD$9,"Original","Control Number",U$2,$A217)))</f>
        <v/>
      </c>
      <c r="V217" s="14"/>
      <c r="W217" s="17"/>
      <c r="X217" s="17"/>
      <c r="Y217" s="17"/>
      <c r="Z217" s="13"/>
      <c r="AA217" s="13"/>
      <c r="AB217" s="13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3"/>
    </row>
    <row r="218" spans="1:45" ht="40.5" customHeight="1" x14ac:dyDescent="0.2">
      <c r="A218" s="19"/>
      <c r="B218" s="19"/>
      <c r="C218" s="15"/>
      <c r="D218" s="15"/>
      <c r="E218" s="13"/>
      <c r="F218" s="34" t="str" cm="1">
        <f t="array" ref="F218">IF($A218="","",GetMatchingValue($XFD$8,"Original","Control Number",F$2,$A218))</f>
        <v/>
      </c>
      <c r="G218" s="34" t="str" cm="1">
        <f t="array" ref="G218">IF($A218="","",GetMatchingValue($XFD$8,"Original","Control Number",G$2,$A218))</f>
        <v/>
      </c>
      <c r="H218" s="34" t="str" cm="1">
        <f t="array" ref="H218">IF($A218="","",GetMatchingValue($XFD$8,"Original","Control Number",H$2,$A218))</f>
        <v/>
      </c>
      <c r="I218" s="13"/>
      <c r="J218" s="13" t="str" cm="1">
        <f t="array" ref="J218">IF($A218="","",CheckControlNumberExists($XFD$9, "Original", $A218))</f>
        <v/>
      </c>
      <c r="K218" s="34" t="str" cm="1">
        <f t="array" ref="K218">IF($A218="","",IF($J218="No","",GetMatchingValue($XFD$9,"Original","Control Number",K$2,$A218)))</f>
        <v/>
      </c>
      <c r="L218" s="34" t="str" cm="1">
        <f t="array" ref="L218">IF($A218="","",IF($J218="No","",GetMatchingValue($XFD$9,"Original","Control Number",L$2,$A218)))</f>
        <v/>
      </c>
      <c r="M218" s="13" t="str">
        <f t="shared" ca="1" si="5"/>
        <v/>
      </c>
      <c r="N218" s="16"/>
      <c r="O218" s="34" t="str" cm="1">
        <f t="array" ref="O218">IF($A218="","",IF($J218="No","",GetMatchingValue($XFD$9,"Original","Control Number",O$2,$A218)))</f>
        <v/>
      </c>
      <c r="P218" s="34" t="str" cm="1">
        <f t="array" ref="P218">IF($A218="","",IF($J218="No","",GetMatchingValue($XFD$9,"Original","Control Number",P$2,$A218)))</f>
        <v/>
      </c>
      <c r="Q218" s="34" t="str" cm="1">
        <f t="array" ref="Q218">IF($A218="","",IF($J218="No","",GetMatchingValue($XFD$9,"Original","Control Number",Q$2,$A218)))</f>
        <v/>
      </c>
      <c r="R218" s="34" t="str" cm="1">
        <f t="array" ref="R218">IF($A218="","",IF($J218="No","",GetMatchingValue($XFD$9,"Original","Control Number",R$2,$A218)))</f>
        <v/>
      </c>
      <c r="S218" s="34" t="str" cm="1">
        <f t="array" ref="S218">IF($A218="","",IF($J218="No","",GetMatchingValue($XFD$9,"Original","Control Number",S$2,$A218)))</f>
        <v/>
      </c>
      <c r="T218" s="34" t="str" cm="1">
        <f t="array" ref="T218">IF($A218="","",IF($J218="No","",GetMatchingValue($XFD$9,"Original","Control Number",T$2,$A218)))</f>
        <v/>
      </c>
      <c r="U218" s="34" t="str" cm="1">
        <f t="array" ref="U218">IF($A218="","",IF($J218="No","",GetMatchingValue($XFD$9,"Original","Control Number",U$2,$A218)))</f>
        <v/>
      </c>
      <c r="V218" s="14"/>
      <c r="W218" s="17"/>
      <c r="X218" s="17"/>
      <c r="Y218" s="17"/>
      <c r="Z218" s="13"/>
      <c r="AA218" s="13"/>
      <c r="AB218" s="13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3"/>
    </row>
    <row r="219" spans="1:45" ht="40.5" customHeight="1" x14ac:dyDescent="0.2">
      <c r="A219" s="19"/>
      <c r="B219" s="19"/>
      <c r="C219" s="15"/>
      <c r="D219" s="15"/>
      <c r="E219" s="13"/>
      <c r="F219" s="34" t="str" cm="1">
        <f t="array" ref="F219">IF($A219="","",GetMatchingValue($XFD$8,"Original","Control Number",F$2,$A219))</f>
        <v/>
      </c>
      <c r="G219" s="34" t="str" cm="1">
        <f t="array" ref="G219">IF($A219="","",GetMatchingValue($XFD$8,"Original","Control Number",G$2,$A219))</f>
        <v/>
      </c>
      <c r="H219" s="34" t="str" cm="1">
        <f t="array" ref="H219">IF($A219="","",GetMatchingValue($XFD$8,"Original","Control Number",H$2,$A219))</f>
        <v/>
      </c>
      <c r="I219" s="13"/>
      <c r="J219" s="13" t="str" cm="1">
        <f t="array" ref="J219">IF($A219="","",CheckControlNumberExists($XFD$9, "Original", $A219))</f>
        <v/>
      </c>
      <c r="K219" s="34" t="str" cm="1">
        <f t="array" ref="K219">IF($A219="","",IF($J219="No","",GetMatchingValue($XFD$9,"Original","Control Number",K$2,$A219)))</f>
        <v/>
      </c>
      <c r="L219" s="34" t="str" cm="1">
        <f t="array" ref="L219">IF($A219="","",IF($J219="No","",GetMatchingValue($XFD$9,"Original","Control Number",L$2,$A219)))</f>
        <v/>
      </c>
      <c r="M219" s="13" t="str">
        <f t="shared" ca="1" si="5"/>
        <v/>
      </c>
      <c r="N219" s="16"/>
      <c r="O219" s="34" t="str" cm="1">
        <f t="array" ref="O219">IF($A219="","",IF($J219="No","",GetMatchingValue($XFD$9,"Original","Control Number",O$2,$A219)))</f>
        <v/>
      </c>
      <c r="P219" s="34" t="str" cm="1">
        <f t="array" ref="P219">IF($A219="","",IF($J219="No","",GetMatchingValue($XFD$9,"Original","Control Number",P$2,$A219)))</f>
        <v/>
      </c>
      <c r="Q219" s="34" t="str" cm="1">
        <f t="array" ref="Q219">IF($A219="","",IF($J219="No","",GetMatchingValue($XFD$9,"Original","Control Number",Q$2,$A219)))</f>
        <v/>
      </c>
      <c r="R219" s="34" t="str" cm="1">
        <f t="array" ref="R219">IF($A219="","",IF($J219="No","",GetMatchingValue($XFD$9,"Original","Control Number",R$2,$A219)))</f>
        <v/>
      </c>
      <c r="S219" s="34" t="str" cm="1">
        <f t="array" ref="S219">IF($A219="","",IF($J219="No","",GetMatchingValue($XFD$9,"Original","Control Number",S$2,$A219)))</f>
        <v/>
      </c>
      <c r="T219" s="34" t="str" cm="1">
        <f t="array" ref="T219">IF($A219="","",IF($J219="No","",GetMatchingValue($XFD$9,"Original","Control Number",T$2,$A219)))</f>
        <v/>
      </c>
      <c r="U219" s="34" t="str" cm="1">
        <f t="array" ref="U219">IF($A219="","",IF($J219="No","",GetMatchingValue($XFD$9,"Original","Control Number",U$2,$A219)))</f>
        <v/>
      </c>
      <c r="V219" s="14"/>
      <c r="W219" s="17"/>
      <c r="X219" s="17"/>
      <c r="Y219" s="17"/>
      <c r="Z219" s="13"/>
      <c r="AA219" s="13"/>
      <c r="AB219" s="13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3"/>
    </row>
    <row r="220" spans="1:45" ht="40.5" customHeight="1" x14ac:dyDescent="0.2">
      <c r="A220" s="19"/>
      <c r="B220" s="19"/>
      <c r="C220" s="15"/>
      <c r="D220" s="15"/>
      <c r="E220" s="13"/>
      <c r="F220" s="34" t="str" cm="1">
        <f t="array" ref="F220">IF($A220="","",GetMatchingValue($XFD$8,"Original","Control Number",F$2,$A220))</f>
        <v/>
      </c>
      <c r="G220" s="34" t="str" cm="1">
        <f t="array" ref="G220">IF($A220="","",GetMatchingValue($XFD$8,"Original","Control Number",G$2,$A220))</f>
        <v/>
      </c>
      <c r="H220" s="34" t="str" cm="1">
        <f t="array" ref="H220">IF($A220="","",GetMatchingValue($XFD$8,"Original","Control Number",H$2,$A220))</f>
        <v/>
      </c>
      <c r="I220" s="13"/>
      <c r="J220" s="13" t="str" cm="1">
        <f t="array" ref="J220">IF($A220="","",CheckControlNumberExists($XFD$9, "Original", $A220))</f>
        <v/>
      </c>
      <c r="K220" s="34" t="str" cm="1">
        <f t="array" ref="K220">IF($A220="","",IF($J220="No","",GetMatchingValue($XFD$9,"Original","Control Number",K$2,$A220)))</f>
        <v/>
      </c>
      <c r="L220" s="34" t="str" cm="1">
        <f t="array" ref="L220">IF($A220="","",IF($J220="No","",GetMatchingValue($XFD$9,"Original","Control Number",L$2,$A220)))</f>
        <v/>
      </c>
      <c r="M220" s="13" t="str">
        <f t="shared" ca="1" si="5"/>
        <v/>
      </c>
      <c r="N220" s="16"/>
      <c r="O220" s="34" t="str" cm="1">
        <f t="array" ref="O220">IF($A220="","",IF($J220="No","",GetMatchingValue($XFD$9,"Original","Control Number",O$2,$A220)))</f>
        <v/>
      </c>
      <c r="P220" s="34" t="str" cm="1">
        <f t="array" ref="P220">IF($A220="","",IF($J220="No","",GetMatchingValue($XFD$9,"Original","Control Number",P$2,$A220)))</f>
        <v/>
      </c>
      <c r="Q220" s="34" t="str" cm="1">
        <f t="array" ref="Q220">IF($A220="","",IF($J220="No","",GetMatchingValue($XFD$9,"Original","Control Number",Q$2,$A220)))</f>
        <v/>
      </c>
      <c r="R220" s="34" t="str" cm="1">
        <f t="array" ref="R220">IF($A220="","",IF($J220="No","",GetMatchingValue($XFD$9,"Original","Control Number",R$2,$A220)))</f>
        <v/>
      </c>
      <c r="S220" s="34" t="str" cm="1">
        <f t="array" ref="S220">IF($A220="","",IF($J220="No","",GetMatchingValue($XFD$9,"Original","Control Number",S$2,$A220)))</f>
        <v/>
      </c>
      <c r="T220" s="34" t="str" cm="1">
        <f t="array" ref="T220">IF($A220="","",IF($J220="No","",GetMatchingValue($XFD$9,"Original","Control Number",T$2,$A220)))</f>
        <v/>
      </c>
      <c r="U220" s="34" t="str" cm="1">
        <f t="array" ref="U220">IF($A220="","",IF($J220="No","",GetMatchingValue($XFD$9,"Original","Control Number",U$2,$A220)))</f>
        <v/>
      </c>
      <c r="V220" s="14"/>
      <c r="W220" s="17"/>
      <c r="X220" s="17"/>
      <c r="Y220" s="17"/>
      <c r="Z220" s="13"/>
      <c r="AA220" s="13"/>
      <c r="AB220" s="13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3"/>
    </row>
    <row r="221" spans="1:45" ht="40.5" customHeight="1" x14ac:dyDescent="0.2">
      <c r="A221" s="19"/>
      <c r="B221" s="19"/>
      <c r="C221" s="15"/>
      <c r="D221" s="15"/>
      <c r="E221" s="13"/>
      <c r="F221" s="34" t="str" cm="1">
        <f t="array" ref="F221">IF($A221="","",GetMatchingValue($XFD$8,"Original","Control Number",F$2,$A221))</f>
        <v/>
      </c>
      <c r="G221" s="34" t="str" cm="1">
        <f t="array" ref="G221">IF($A221="","",GetMatchingValue($XFD$8,"Original","Control Number",G$2,$A221))</f>
        <v/>
      </c>
      <c r="H221" s="34" t="str" cm="1">
        <f t="array" ref="H221">IF($A221="","",GetMatchingValue($XFD$8,"Original","Control Number",H$2,$A221))</f>
        <v/>
      </c>
      <c r="I221" s="13"/>
      <c r="J221" s="13" t="str" cm="1">
        <f t="array" ref="J221">IF($A221="","",CheckControlNumberExists($XFD$9, "Original", $A221))</f>
        <v/>
      </c>
      <c r="K221" s="34" t="str" cm="1">
        <f t="array" ref="K221">IF($A221="","",IF($J221="No","",GetMatchingValue($XFD$9,"Original","Control Number",K$2,$A221)))</f>
        <v/>
      </c>
      <c r="L221" s="34" t="str" cm="1">
        <f t="array" ref="L221">IF($A221="","",IF($J221="No","",GetMatchingValue($XFD$9,"Original","Control Number",L$2,$A221)))</f>
        <v/>
      </c>
      <c r="M221" s="13" t="str">
        <f t="shared" ca="1" si="5"/>
        <v/>
      </c>
      <c r="N221" s="16"/>
      <c r="O221" s="34" t="str" cm="1">
        <f t="array" ref="O221">IF($A221="","",IF($J221="No","",GetMatchingValue($XFD$9,"Original","Control Number",O$2,$A221)))</f>
        <v/>
      </c>
      <c r="P221" s="34" t="str" cm="1">
        <f t="array" ref="P221">IF($A221="","",IF($J221="No","",GetMatchingValue($XFD$9,"Original","Control Number",P$2,$A221)))</f>
        <v/>
      </c>
      <c r="Q221" s="34" t="str" cm="1">
        <f t="array" ref="Q221">IF($A221="","",IF($J221="No","",GetMatchingValue($XFD$9,"Original","Control Number",Q$2,$A221)))</f>
        <v/>
      </c>
      <c r="R221" s="34" t="str" cm="1">
        <f t="array" ref="R221">IF($A221="","",IF($J221="No","",GetMatchingValue($XFD$9,"Original","Control Number",R$2,$A221)))</f>
        <v/>
      </c>
      <c r="S221" s="34" t="str" cm="1">
        <f t="array" ref="S221">IF($A221="","",IF($J221="No","",GetMatchingValue($XFD$9,"Original","Control Number",S$2,$A221)))</f>
        <v/>
      </c>
      <c r="T221" s="34" t="str" cm="1">
        <f t="array" ref="T221">IF($A221="","",IF($J221="No","",GetMatchingValue($XFD$9,"Original","Control Number",T$2,$A221)))</f>
        <v/>
      </c>
      <c r="U221" s="34" t="str" cm="1">
        <f t="array" ref="U221">IF($A221="","",IF($J221="No","",GetMatchingValue($XFD$9,"Original","Control Number",U$2,$A221)))</f>
        <v/>
      </c>
      <c r="V221" s="14"/>
      <c r="W221" s="17"/>
      <c r="X221" s="17"/>
      <c r="Y221" s="17"/>
      <c r="Z221" s="13"/>
      <c r="AA221" s="13"/>
      <c r="AB221" s="13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3"/>
    </row>
    <row r="222" spans="1:45" ht="40.5" customHeight="1" x14ac:dyDescent="0.2">
      <c r="A222" s="19"/>
      <c r="B222" s="19"/>
      <c r="C222" s="15"/>
      <c r="D222" s="15"/>
      <c r="E222" s="13"/>
      <c r="F222" s="34" t="str" cm="1">
        <f t="array" ref="F222">IF($A222="","",GetMatchingValue($XFD$8,"Original","Control Number",F$2,$A222))</f>
        <v/>
      </c>
      <c r="G222" s="34" t="str" cm="1">
        <f t="array" ref="G222">IF($A222="","",GetMatchingValue($XFD$8,"Original","Control Number",G$2,$A222))</f>
        <v/>
      </c>
      <c r="H222" s="34" t="str" cm="1">
        <f t="array" ref="H222">IF($A222="","",GetMatchingValue($XFD$8,"Original","Control Number",H$2,$A222))</f>
        <v/>
      </c>
      <c r="I222" s="13"/>
      <c r="J222" s="13" t="str" cm="1">
        <f t="array" ref="J222">IF($A222="","",CheckControlNumberExists($XFD$9, "Original", $A222))</f>
        <v/>
      </c>
      <c r="K222" s="34" t="str" cm="1">
        <f t="array" ref="K222">IF($A222="","",IF($J222="No","",GetMatchingValue($XFD$9,"Original","Control Number",K$2,$A222)))</f>
        <v/>
      </c>
      <c r="L222" s="34" t="str" cm="1">
        <f t="array" ref="L222">IF($A222="","",IF($J222="No","",GetMatchingValue($XFD$9,"Original","Control Number",L$2,$A222)))</f>
        <v/>
      </c>
      <c r="M222" s="13" t="str">
        <f t="shared" ca="1" si="5"/>
        <v/>
      </c>
      <c r="N222" s="16"/>
      <c r="O222" s="34" t="str" cm="1">
        <f t="array" ref="O222">IF($A222="","",IF($J222="No","",GetMatchingValue($XFD$9,"Original","Control Number",O$2,$A222)))</f>
        <v/>
      </c>
      <c r="P222" s="34" t="str" cm="1">
        <f t="array" ref="P222">IF($A222="","",IF($J222="No","",GetMatchingValue($XFD$9,"Original","Control Number",P$2,$A222)))</f>
        <v/>
      </c>
      <c r="Q222" s="34" t="str" cm="1">
        <f t="array" ref="Q222">IF($A222="","",IF($J222="No","",GetMatchingValue($XFD$9,"Original","Control Number",Q$2,$A222)))</f>
        <v/>
      </c>
      <c r="R222" s="34" t="str" cm="1">
        <f t="array" ref="R222">IF($A222="","",IF($J222="No","",GetMatchingValue($XFD$9,"Original","Control Number",R$2,$A222)))</f>
        <v/>
      </c>
      <c r="S222" s="34" t="str" cm="1">
        <f t="array" ref="S222">IF($A222="","",IF($J222="No","",GetMatchingValue($XFD$9,"Original","Control Number",S$2,$A222)))</f>
        <v/>
      </c>
      <c r="T222" s="34" t="str" cm="1">
        <f t="array" ref="T222">IF($A222="","",IF($J222="No","",GetMatchingValue($XFD$9,"Original","Control Number",T$2,$A222)))</f>
        <v/>
      </c>
      <c r="U222" s="34" t="str" cm="1">
        <f t="array" ref="U222">IF($A222="","",IF($J222="No","",GetMatchingValue($XFD$9,"Original","Control Number",U$2,$A222)))</f>
        <v/>
      </c>
      <c r="V222" s="14"/>
      <c r="W222" s="17"/>
      <c r="X222" s="17"/>
      <c r="Y222" s="17"/>
      <c r="Z222" s="13"/>
      <c r="AA222" s="13"/>
      <c r="AB222" s="13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3"/>
    </row>
    <row r="223" spans="1:45" ht="40.5" customHeight="1" x14ac:dyDescent="0.2">
      <c r="A223" s="19"/>
      <c r="B223" s="19"/>
      <c r="C223" s="15"/>
      <c r="D223" s="15"/>
      <c r="E223" s="13"/>
      <c r="F223" s="34" t="str" cm="1">
        <f t="array" ref="F223">IF($A223="","",GetMatchingValue($XFD$8,"Original","Control Number",F$2,$A223))</f>
        <v/>
      </c>
      <c r="G223" s="34" t="str" cm="1">
        <f t="array" ref="G223">IF($A223="","",GetMatchingValue($XFD$8,"Original","Control Number",G$2,$A223))</f>
        <v/>
      </c>
      <c r="H223" s="34" t="str" cm="1">
        <f t="array" ref="H223">IF($A223="","",GetMatchingValue($XFD$8,"Original","Control Number",H$2,$A223))</f>
        <v/>
      </c>
      <c r="I223" s="13"/>
      <c r="J223" s="13" t="str" cm="1">
        <f t="array" ref="J223">IF($A223="","",CheckControlNumberExists($XFD$9, "Original", $A223))</f>
        <v/>
      </c>
      <c r="K223" s="34" t="str" cm="1">
        <f t="array" ref="K223">IF($A223="","",IF($J223="No","",GetMatchingValue($XFD$9,"Original","Control Number",K$2,$A223)))</f>
        <v/>
      </c>
      <c r="L223" s="34" t="str" cm="1">
        <f t="array" ref="L223">IF($A223="","",IF($J223="No","",GetMatchingValue($XFD$9,"Original","Control Number",L$2,$A223)))</f>
        <v/>
      </c>
      <c r="M223" s="13" t="str">
        <f t="shared" ca="1" si="5"/>
        <v/>
      </c>
      <c r="N223" s="16"/>
      <c r="O223" s="34" t="str" cm="1">
        <f t="array" ref="O223">IF($A223="","",IF($J223="No","",GetMatchingValue($XFD$9,"Original","Control Number",O$2,$A223)))</f>
        <v/>
      </c>
      <c r="P223" s="34" t="str" cm="1">
        <f t="array" ref="P223">IF($A223="","",IF($J223="No","",GetMatchingValue($XFD$9,"Original","Control Number",P$2,$A223)))</f>
        <v/>
      </c>
      <c r="Q223" s="34" t="str" cm="1">
        <f t="array" ref="Q223">IF($A223="","",IF($J223="No","",GetMatchingValue($XFD$9,"Original","Control Number",Q$2,$A223)))</f>
        <v/>
      </c>
      <c r="R223" s="34" t="str" cm="1">
        <f t="array" ref="R223">IF($A223="","",IF($J223="No","",GetMatchingValue($XFD$9,"Original","Control Number",R$2,$A223)))</f>
        <v/>
      </c>
      <c r="S223" s="34" t="str" cm="1">
        <f t="array" ref="S223">IF($A223="","",IF($J223="No","",GetMatchingValue($XFD$9,"Original","Control Number",S$2,$A223)))</f>
        <v/>
      </c>
      <c r="T223" s="34" t="str" cm="1">
        <f t="array" ref="T223">IF($A223="","",IF($J223="No","",GetMatchingValue($XFD$9,"Original","Control Number",T$2,$A223)))</f>
        <v/>
      </c>
      <c r="U223" s="34" t="str" cm="1">
        <f t="array" ref="U223">IF($A223="","",IF($J223="No","",GetMatchingValue($XFD$9,"Original","Control Number",U$2,$A223)))</f>
        <v/>
      </c>
      <c r="V223" s="14"/>
      <c r="W223" s="17"/>
      <c r="X223" s="17"/>
      <c r="Y223" s="17"/>
      <c r="Z223" s="13"/>
      <c r="AA223" s="13"/>
      <c r="AB223" s="13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3"/>
    </row>
    <row r="224" spans="1:45" ht="40.5" customHeight="1" x14ac:dyDescent="0.2">
      <c r="A224" s="19"/>
      <c r="B224" s="19"/>
      <c r="C224" s="15"/>
      <c r="D224" s="15"/>
      <c r="E224" s="13"/>
      <c r="F224" s="34" t="str" cm="1">
        <f t="array" ref="F224">IF($A224="","",GetMatchingValue($XFD$8,"Original","Control Number",F$2,$A224))</f>
        <v/>
      </c>
      <c r="G224" s="34" t="str" cm="1">
        <f t="array" ref="G224">IF($A224="","",GetMatchingValue($XFD$8,"Original","Control Number",G$2,$A224))</f>
        <v/>
      </c>
      <c r="H224" s="34" t="str" cm="1">
        <f t="array" ref="H224">IF($A224="","",GetMatchingValue($XFD$8,"Original","Control Number",H$2,$A224))</f>
        <v/>
      </c>
      <c r="I224" s="13"/>
      <c r="J224" s="13" t="str" cm="1">
        <f t="array" ref="J224">IF($A224="","",CheckControlNumberExists($XFD$9, "Original", $A224))</f>
        <v/>
      </c>
      <c r="K224" s="34" t="str" cm="1">
        <f t="array" ref="K224">IF($A224="","",IF($J224="No","",GetMatchingValue($XFD$9,"Original","Control Number",K$2,$A224)))</f>
        <v/>
      </c>
      <c r="L224" s="34" t="str" cm="1">
        <f t="array" ref="L224">IF($A224="","",IF($J224="No","",GetMatchingValue($XFD$9,"Original","Control Number",L$2,$A224)))</f>
        <v/>
      </c>
      <c r="M224" s="13" t="str">
        <f t="shared" ca="1" si="5"/>
        <v/>
      </c>
      <c r="N224" s="16"/>
      <c r="O224" s="34" t="str" cm="1">
        <f t="array" ref="O224">IF($A224="","",IF($J224="No","",GetMatchingValue($XFD$9,"Original","Control Number",O$2,$A224)))</f>
        <v/>
      </c>
      <c r="P224" s="34" t="str" cm="1">
        <f t="array" ref="P224">IF($A224="","",IF($J224="No","",GetMatchingValue($XFD$9,"Original","Control Number",P$2,$A224)))</f>
        <v/>
      </c>
      <c r="Q224" s="34" t="str" cm="1">
        <f t="array" ref="Q224">IF($A224="","",IF($J224="No","",GetMatchingValue($XFD$9,"Original","Control Number",Q$2,$A224)))</f>
        <v/>
      </c>
      <c r="R224" s="34" t="str" cm="1">
        <f t="array" ref="R224">IF($A224="","",IF($J224="No","",GetMatchingValue($XFD$9,"Original","Control Number",R$2,$A224)))</f>
        <v/>
      </c>
      <c r="S224" s="34" t="str" cm="1">
        <f t="array" ref="S224">IF($A224="","",IF($J224="No","",GetMatchingValue($XFD$9,"Original","Control Number",S$2,$A224)))</f>
        <v/>
      </c>
      <c r="T224" s="34" t="str" cm="1">
        <f t="array" ref="T224">IF($A224="","",IF($J224="No","",GetMatchingValue($XFD$9,"Original","Control Number",T$2,$A224)))</f>
        <v/>
      </c>
      <c r="U224" s="34" t="str" cm="1">
        <f t="array" ref="U224">IF($A224="","",IF($J224="No","",GetMatchingValue($XFD$9,"Original","Control Number",U$2,$A224)))</f>
        <v/>
      </c>
      <c r="V224" s="14"/>
      <c r="W224" s="17"/>
      <c r="X224" s="17"/>
      <c r="Y224" s="17"/>
      <c r="Z224" s="13"/>
      <c r="AA224" s="13"/>
      <c r="AB224" s="13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3"/>
    </row>
    <row r="225" spans="1:45" ht="40.5" customHeight="1" x14ac:dyDescent="0.2">
      <c r="A225" s="19"/>
      <c r="B225" s="19"/>
      <c r="C225" s="15"/>
      <c r="D225" s="15"/>
      <c r="E225" s="13"/>
      <c r="F225" s="34" t="str" cm="1">
        <f t="array" ref="F225">IF($A225="","",GetMatchingValue($XFD$8,"Original","Control Number",F$2,$A225))</f>
        <v/>
      </c>
      <c r="G225" s="34" t="str" cm="1">
        <f t="array" ref="G225">IF($A225="","",GetMatchingValue($XFD$8,"Original","Control Number",G$2,$A225))</f>
        <v/>
      </c>
      <c r="H225" s="34" t="str" cm="1">
        <f t="array" ref="H225">IF($A225="","",GetMatchingValue($XFD$8,"Original","Control Number",H$2,$A225))</f>
        <v/>
      </c>
      <c r="I225" s="13"/>
      <c r="J225" s="13" t="str" cm="1">
        <f t="array" ref="J225">IF($A225="","",CheckControlNumberExists($XFD$9, "Original", $A225))</f>
        <v/>
      </c>
      <c r="K225" s="34" t="str" cm="1">
        <f t="array" ref="K225">IF($A225="","",IF($J225="No","",GetMatchingValue($XFD$9,"Original","Control Number",K$2,$A225)))</f>
        <v/>
      </c>
      <c r="L225" s="34" t="str" cm="1">
        <f t="array" ref="L225">IF($A225="","",IF($J225="No","",GetMatchingValue($XFD$9,"Original","Control Number",L$2,$A225)))</f>
        <v/>
      </c>
      <c r="M225" s="13" t="str">
        <f t="shared" ca="1" si="5"/>
        <v/>
      </c>
      <c r="N225" s="16"/>
      <c r="O225" s="34" t="str" cm="1">
        <f t="array" ref="O225">IF($A225="","",IF($J225="No","",GetMatchingValue($XFD$9,"Original","Control Number",O$2,$A225)))</f>
        <v/>
      </c>
      <c r="P225" s="34" t="str" cm="1">
        <f t="array" ref="P225">IF($A225="","",IF($J225="No","",GetMatchingValue($XFD$9,"Original","Control Number",P$2,$A225)))</f>
        <v/>
      </c>
      <c r="Q225" s="34" t="str" cm="1">
        <f t="array" ref="Q225">IF($A225="","",IF($J225="No","",GetMatchingValue($XFD$9,"Original","Control Number",Q$2,$A225)))</f>
        <v/>
      </c>
      <c r="R225" s="34" t="str" cm="1">
        <f t="array" ref="R225">IF($A225="","",IF($J225="No","",GetMatchingValue($XFD$9,"Original","Control Number",R$2,$A225)))</f>
        <v/>
      </c>
      <c r="S225" s="34" t="str" cm="1">
        <f t="array" ref="S225">IF($A225="","",IF($J225="No","",GetMatchingValue($XFD$9,"Original","Control Number",S$2,$A225)))</f>
        <v/>
      </c>
      <c r="T225" s="34" t="str" cm="1">
        <f t="array" ref="T225">IF($A225="","",IF($J225="No","",GetMatchingValue($XFD$9,"Original","Control Number",T$2,$A225)))</f>
        <v/>
      </c>
      <c r="U225" s="34" t="str" cm="1">
        <f t="array" ref="U225">IF($A225="","",IF($J225="No","",GetMatchingValue($XFD$9,"Original","Control Number",U$2,$A225)))</f>
        <v/>
      </c>
      <c r="V225" s="14"/>
      <c r="W225" s="17"/>
      <c r="X225" s="17"/>
      <c r="Y225" s="17"/>
      <c r="Z225" s="13"/>
      <c r="AA225" s="13"/>
      <c r="AB225" s="13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3"/>
    </row>
    <row r="226" spans="1:45" ht="40.5" customHeight="1" x14ac:dyDescent="0.2">
      <c r="A226" s="19"/>
      <c r="B226" s="19"/>
      <c r="C226" s="15"/>
      <c r="D226" s="15"/>
      <c r="E226" s="13"/>
      <c r="F226" s="34" t="str" cm="1">
        <f t="array" ref="F226">IF($A226="","",GetMatchingValue($XFD$8,"Original","Control Number",F$2,$A226))</f>
        <v/>
      </c>
      <c r="G226" s="34" t="str" cm="1">
        <f t="array" ref="G226">IF($A226="","",GetMatchingValue($XFD$8,"Original","Control Number",G$2,$A226))</f>
        <v/>
      </c>
      <c r="H226" s="34" t="str" cm="1">
        <f t="array" ref="H226">IF($A226="","",GetMatchingValue($XFD$8,"Original","Control Number",H$2,$A226))</f>
        <v/>
      </c>
      <c r="I226" s="13"/>
      <c r="J226" s="13" t="str" cm="1">
        <f t="array" ref="J226">IF($A226="","",CheckControlNumberExists($XFD$9, "Original", $A226))</f>
        <v/>
      </c>
      <c r="K226" s="34" t="str" cm="1">
        <f t="array" ref="K226">IF($A226="","",IF($J226="No","",GetMatchingValue($XFD$9,"Original","Control Number",K$2,$A226)))</f>
        <v/>
      </c>
      <c r="L226" s="34" t="str" cm="1">
        <f t="array" ref="L226">IF($A226="","",IF($J226="No","",GetMatchingValue($XFD$9,"Original","Control Number",L$2,$A226)))</f>
        <v/>
      </c>
      <c r="M226" s="13" t="str">
        <f t="shared" ca="1" si="5"/>
        <v/>
      </c>
      <c r="N226" s="16"/>
      <c r="O226" s="34" t="str" cm="1">
        <f t="array" ref="O226">IF($A226="","",IF($J226="No","",GetMatchingValue($XFD$9,"Original","Control Number",O$2,$A226)))</f>
        <v/>
      </c>
      <c r="P226" s="34" t="str" cm="1">
        <f t="array" ref="P226">IF($A226="","",IF($J226="No","",GetMatchingValue($XFD$9,"Original","Control Number",P$2,$A226)))</f>
        <v/>
      </c>
      <c r="Q226" s="34" t="str" cm="1">
        <f t="array" ref="Q226">IF($A226="","",IF($J226="No","",GetMatchingValue($XFD$9,"Original","Control Number",Q$2,$A226)))</f>
        <v/>
      </c>
      <c r="R226" s="34" t="str" cm="1">
        <f t="array" ref="R226">IF($A226="","",IF($J226="No","",GetMatchingValue($XFD$9,"Original","Control Number",R$2,$A226)))</f>
        <v/>
      </c>
      <c r="S226" s="34" t="str" cm="1">
        <f t="array" ref="S226">IF($A226="","",IF($J226="No","",GetMatchingValue($XFD$9,"Original","Control Number",S$2,$A226)))</f>
        <v/>
      </c>
      <c r="T226" s="34" t="str" cm="1">
        <f t="array" ref="T226">IF($A226="","",IF($J226="No","",GetMatchingValue($XFD$9,"Original","Control Number",T$2,$A226)))</f>
        <v/>
      </c>
      <c r="U226" s="34" t="str" cm="1">
        <f t="array" ref="U226">IF($A226="","",IF($J226="No","",GetMatchingValue($XFD$9,"Original","Control Number",U$2,$A226)))</f>
        <v/>
      </c>
      <c r="V226" s="14"/>
      <c r="W226" s="17"/>
      <c r="X226" s="17"/>
      <c r="Y226" s="17"/>
      <c r="Z226" s="13"/>
      <c r="AA226" s="13"/>
      <c r="AB226" s="13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3"/>
    </row>
    <row r="227" spans="1:45" ht="40.5" customHeight="1" x14ac:dyDescent="0.2">
      <c r="A227" s="19"/>
      <c r="B227" s="19"/>
      <c r="C227" s="15"/>
      <c r="D227" s="15"/>
      <c r="E227" s="13"/>
      <c r="F227" s="34" t="str" cm="1">
        <f t="array" ref="F227">IF($A227="","",GetMatchingValue($XFD$8,"Original","Control Number",F$2,$A227))</f>
        <v/>
      </c>
      <c r="G227" s="34" t="str" cm="1">
        <f t="array" ref="G227">IF($A227="","",GetMatchingValue($XFD$8,"Original","Control Number",G$2,$A227))</f>
        <v/>
      </c>
      <c r="H227" s="34" t="str" cm="1">
        <f t="array" ref="H227">IF($A227="","",GetMatchingValue($XFD$8,"Original","Control Number",H$2,$A227))</f>
        <v/>
      </c>
      <c r="I227" s="13"/>
      <c r="J227" s="13" t="str" cm="1">
        <f t="array" ref="J227">IF($A227="","",CheckControlNumberExists($XFD$9, "Original", $A227))</f>
        <v/>
      </c>
      <c r="K227" s="34" t="str" cm="1">
        <f t="array" ref="K227">IF($A227="","",IF($J227="No","",GetMatchingValue($XFD$9,"Original","Control Number",K$2,$A227)))</f>
        <v/>
      </c>
      <c r="L227" s="34" t="str" cm="1">
        <f t="array" ref="L227">IF($A227="","",IF($J227="No","",GetMatchingValue($XFD$9,"Original","Control Number",L$2,$A227)))</f>
        <v/>
      </c>
      <c r="M227" s="13" t="str">
        <f t="shared" ca="1" si="5"/>
        <v/>
      </c>
      <c r="N227" s="16"/>
      <c r="O227" s="34" t="str" cm="1">
        <f t="array" ref="O227">IF($A227="","",IF($J227="No","",GetMatchingValue($XFD$9,"Original","Control Number",O$2,$A227)))</f>
        <v/>
      </c>
      <c r="P227" s="34" t="str" cm="1">
        <f t="array" ref="P227">IF($A227="","",IF($J227="No","",GetMatchingValue($XFD$9,"Original","Control Number",P$2,$A227)))</f>
        <v/>
      </c>
      <c r="Q227" s="34" t="str" cm="1">
        <f t="array" ref="Q227">IF($A227="","",IF($J227="No","",GetMatchingValue($XFD$9,"Original","Control Number",Q$2,$A227)))</f>
        <v/>
      </c>
      <c r="R227" s="34" t="str" cm="1">
        <f t="array" ref="R227">IF($A227="","",IF($J227="No","",GetMatchingValue($XFD$9,"Original","Control Number",R$2,$A227)))</f>
        <v/>
      </c>
      <c r="S227" s="34" t="str" cm="1">
        <f t="array" ref="S227">IF($A227="","",IF($J227="No","",GetMatchingValue($XFD$9,"Original","Control Number",S$2,$A227)))</f>
        <v/>
      </c>
      <c r="T227" s="34" t="str" cm="1">
        <f t="array" ref="T227">IF($A227="","",IF($J227="No","",GetMatchingValue($XFD$9,"Original","Control Number",T$2,$A227)))</f>
        <v/>
      </c>
      <c r="U227" s="34" t="str" cm="1">
        <f t="array" ref="U227">IF($A227="","",IF($J227="No","",GetMatchingValue($XFD$9,"Original","Control Number",U$2,$A227)))</f>
        <v/>
      </c>
      <c r="V227" s="14"/>
      <c r="W227" s="17"/>
      <c r="X227" s="17"/>
      <c r="Y227" s="17"/>
      <c r="Z227" s="13"/>
      <c r="AA227" s="13"/>
      <c r="AB227" s="13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3"/>
    </row>
    <row r="228" spans="1:45" ht="40.5" customHeight="1" x14ac:dyDescent="0.2">
      <c r="A228" s="19"/>
      <c r="B228" s="19"/>
      <c r="C228" s="15"/>
      <c r="D228" s="15"/>
      <c r="E228" s="13"/>
      <c r="F228" s="34" t="str" cm="1">
        <f t="array" ref="F228">IF($A228="","",GetMatchingValue($XFD$8,"Original","Control Number",F$2,$A228))</f>
        <v/>
      </c>
      <c r="G228" s="34" t="str" cm="1">
        <f t="array" ref="G228">IF($A228="","",GetMatchingValue($XFD$8,"Original","Control Number",G$2,$A228))</f>
        <v/>
      </c>
      <c r="H228" s="34" t="str" cm="1">
        <f t="array" ref="H228">IF($A228="","",GetMatchingValue($XFD$8,"Original","Control Number",H$2,$A228))</f>
        <v/>
      </c>
      <c r="I228" s="13"/>
      <c r="J228" s="13" t="str" cm="1">
        <f t="array" ref="J228">IF($A228="","",CheckControlNumberExists($XFD$9, "Original", $A228))</f>
        <v/>
      </c>
      <c r="K228" s="34" t="str" cm="1">
        <f t="array" ref="K228">IF($A228="","",IF($J228="No","",GetMatchingValue($XFD$9,"Original","Control Number",K$2,$A228)))</f>
        <v/>
      </c>
      <c r="L228" s="34" t="str" cm="1">
        <f t="array" ref="L228">IF($A228="","",IF($J228="No","",GetMatchingValue($XFD$9,"Original","Control Number",L$2,$A228)))</f>
        <v/>
      </c>
      <c r="M228" s="13" t="str">
        <f t="shared" ca="1" si="5"/>
        <v/>
      </c>
      <c r="N228" s="16"/>
      <c r="O228" s="34" t="str" cm="1">
        <f t="array" ref="O228">IF($A228="","",IF($J228="No","",GetMatchingValue($XFD$9,"Original","Control Number",O$2,$A228)))</f>
        <v/>
      </c>
      <c r="P228" s="34" t="str" cm="1">
        <f t="array" ref="P228">IF($A228="","",IF($J228="No","",GetMatchingValue($XFD$9,"Original","Control Number",P$2,$A228)))</f>
        <v/>
      </c>
      <c r="Q228" s="34" t="str" cm="1">
        <f t="array" ref="Q228">IF($A228="","",IF($J228="No","",GetMatchingValue($XFD$9,"Original","Control Number",Q$2,$A228)))</f>
        <v/>
      </c>
      <c r="R228" s="34" t="str" cm="1">
        <f t="array" ref="R228">IF($A228="","",IF($J228="No","",GetMatchingValue($XFD$9,"Original","Control Number",R$2,$A228)))</f>
        <v/>
      </c>
      <c r="S228" s="34" t="str" cm="1">
        <f t="array" ref="S228">IF($A228="","",IF($J228="No","",GetMatchingValue($XFD$9,"Original","Control Number",S$2,$A228)))</f>
        <v/>
      </c>
      <c r="T228" s="34" t="str" cm="1">
        <f t="array" ref="T228">IF($A228="","",IF($J228="No","",GetMatchingValue($XFD$9,"Original","Control Number",T$2,$A228)))</f>
        <v/>
      </c>
      <c r="U228" s="34" t="str" cm="1">
        <f t="array" ref="U228">IF($A228="","",IF($J228="No","",GetMatchingValue($XFD$9,"Original","Control Number",U$2,$A228)))</f>
        <v/>
      </c>
      <c r="V228" s="14"/>
      <c r="W228" s="17"/>
      <c r="X228" s="17"/>
      <c r="Y228" s="17"/>
      <c r="Z228" s="13"/>
      <c r="AA228" s="13"/>
      <c r="AB228" s="13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3"/>
    </row>
    <row r="229" spans="1:45" ht="40.5" customHeight="1" x14ac:dyDescent="0.2">
      <c r="A229" s="19"/>
      <c r="B229" s="19"/>
      <c r="C229" s="15"/>
      <c r="D229" s="15"/>
      <c r="E229" s="13"/>
      <c r="F229" s="34" t="str" cm="1">
        <f t="array" ref="F229">IF($A229="","",GetMatchingValue($XFD$8,"Original","Control Number",F$2,$A229))</f>
        <v/>
      </c>
      <c r="G229" s="34" t="str" cm="1">
        <f t="array" ref="G229">IF($A229="","",GetMatchingValue($XFD$8,"Original","Control Number",G$2,$A229))</f>
        <v/>
      </c>
      <c r="H229" s="34" t="str" cm="1">
        <f t="array" ref="H229">IF($A229="","",GetMatchingValue($XFD$8,"Original","Control Number",H$2,$A229))</f>
        <v/>
      </c>
      <c r="I229" s="13"/>
      <c r="J229" s="13" t="str" cm="1">
        <f t="array" ref="J229">IF($A229="","",CheckControlNumberExists($XFD$9, "Original", $A229))</f>
        <v/>
      </c>
      <c r="K229" s="34" t="str" cm="1">
        <f t="array" ref="K229">IF($A229="","",IF($J229="No","",GetMatchingValue($XFD$9,"Original","Control Number",K$2,$A229)))</f>
        <v/>
      </c>
      <c r="L229" s="34" t="str" cm="1">
        <f t="array" ref="L229">IF($A229="","",IF($J229="No","",GetMatchingValue($XFD$9,"Original","Control Number",L$2,$A229)))</f>
        <v/>
      </c>
      <c r="M229" s="13" t="str">
        <f t="shared" ca="1" si="5"/>
        <v/>
      </c>
      <c r="N229" s="16"/>
      <c r="O229" s="34" t="str" cm="1">
        <f t="array" ref="O229">IF($A229="","",IF($J229="No","",GetMatchingValue($XFD$9,"Original","Control Number",O$2,$A229)))</f>
        <v/>
      </c>
      <c r="P229" s="34" t="str" cm="1">
        <f t="array" ref="P229">IF($A229="","",IF($J229="No","",GetMatchingValue($XFD$9,"Original","Control Number",P$2,$A229)))</f>
        <v/>
      </c>
      <c r="Q229" s="34" t="str" cm="1">
        <f t="array" ref="Q229">IF($A229="","",IF($J229="No","",GetMatchingValue($XFD$9,"Original","Control Number",Q$2,$A229)))</f>
        <v/>
      </c>
      <c r="R229" s="34" t="str" cm="1">
        <f t="array" ref="R229">IF($A229="","",IF($J229="No","",GetMatchingValue($XFD$9,"Original","Control Number",R$2,$A229)))</f>
        <v/>
      </c>
      <c r="S229" s="34" t="str" cm="1">
        <f t="array" ref="S229">IF($A229="","",IF($J229="No","",GetMatchingValue($XFD$9,"Original","Control Number",S$2,$A229)))</f>
        <v/>
      </c>
      <c r="T229" s="34" t="str" cm="1">
        <f t="array" ref="T229">IF($A229="","",IF($J229="No","",GetMatchingValue($XFD$9,"Original","Control Number",T$2,$A229)))</f>
        <v/>
      </c>
      <c r="U229" s="34" t="str" cm="1">
        <f t="array" ref="U229">IF($A229="","",IF($J229="No","",GetMatchingValue($XFD$9,"Original","Control Number",U$2,$A229)))</f>
        <v/>
      </c>
      <c r="V229" s="14"/>
      <c r="W229" s="17"/>
      <c r="X229" s="17"/>
      <c r="Y229" s="17"/>
      <c r="Z229" s="13"/>
      <c r="AA229" s="13"/>
      <c r="AB229" s="13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3"/>
    </row>
    <row r="230" spans="1:45" ht="40.5" customHeight="1" x14ac:dyDescent="0.2">
      <c r="A230" s="19"/>
      <c r="B230" s="19"/>
      <c r="C230" s="15"/>
      <c r="D230" s="15"/>
      <c r="E230" s="13"/>
      <c r="F230" s="34" t="str" cm="1">
        <f t="array" ref="F230">IF($A230="","",GetMatchingValue($XFD$8,"Original","Control Number",F$2,$A230))</f>
        <v/>
      </c>
      <c r="G230" s="34" t="str" cm="1">
        <f t="array" ref="G230">IF($A230="","",GetMatchingValue($XFD$8,"Original","Control Number",G$2,$A230))</f>
        <v/>
      </c>
      <c r="H230" s="34" t="str" cm="1">
        <f t="array" ref="H230">IF($A230="","",GetMatchingValue($XFD$8,"Original","Control Number",H$2,$A230))</f>
        <v/>
      </c>
      <c r="I230" s="13"/>
      <c r="J230" s="13" t="str" cm="1">
        <f t="array" ref="J230">IF($A230="","",CheckControlNumberExists($XFD$9, "Original", $A230))</f>
        <v/>
      </c>
      <c r="K230" s="34" t="str" cm="1">
        <f t="array" ref="K230">IF($A230="","",IF($J230="No","",GetMatchingValue($XFD$9,"Original","Control Number",K$2,$A230)))</f>
        <v/>
      </c>
      <c r="L230" s="34" t="str" cm="1">
        <f t="array" ref="L230">IF($A230="","",IF($J230="No","",GetMatchingValue($XFD$9,"Original","Control Number",L$2,$A230)))</f>
        <v/>
      </c>
      <c r="M230" s="13" t="str">
        <f t="shared" ca="1" si="5"/>
        <v/>
      </c>
      <c r="N230" s="16"/>
      <c r="O230" s="34" t="str" cm="1">
        <f t="array" ref="O230">IF($A230="","",IF($J230="No","",GetMatchingValue($XFD$9,"Original","Control Number",O$2,$A230)))</f>
        <v/>
      </c>
      <c r="P230" s="34" t="str" cm="1">
        <f t="array" ref="P230">IF($A230="","",IF($J230="No","",GetMatchingValue($XFD$9,"Original","Control Number",P$2,$A230)))</f>
        <v/>
      </c>
      <c r="Q230" s="34" t="str" cm="1">
        <f t="array" ref="Q230">IF($A230="","",IF($J230="No","",GetMatchingValue($XFD$9,"Original","Control Number",Q$2,$A230)))</f>
        <v/>
      </c>
      <c r="R230" s="34" t="str" cm="1">
        <f t="array" ref="R230">IF($A230="","",IF($J230="No","",GetMatchingValue($XFD$9,"Original","Control Number",R$2,$A230)))</f>
        <v/>
      </c>
      <c r="S230" s="34" t="str" cm="1">
        <f t="array" ref="S230">IF($A230="","",IF($J230="No","",GetMatchingValue($XFD$9,"Original","Control Number",S$2,$A230)))</f>
        <v/>
      </c>
      <c r="T230" s="34" t="str" cm="1">
        <f t="array" ref="T230">IF($A230="","",IF($J230="No","",GetMatchingValue($XFD$9,"Original","Control Number",T$2,$A230)))</f>
        <v/>
      </c>
      <c r="U230" s="34" t="str" cm="1">
        <f t="array" ref="U230">IF($A230="","",IF($J230="No","",GetMatchingValue($XFD$9,"Original","Control Number",U$2,$A230)))</f>
        <v/>
      </c>
      <c r="V230" s="14"/>
      <c r="W230" s="17"/>
      <c r="X230" s="17"/>
      <c r="Y230" s="17"/>
      <c r="Z230" s="13"/>
      <c r="AA230" s="13"/>
      <c r="AB230" s="13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3"/>
    </row>
    <row r="231" spans="1:45" ht="40.5" customHeight="1" x14ac:dyDescent="0.2">
      <c r="A231" s="19"/>
      <c r="B231" s="19"/>
      <c r="C231" s="15"/>
      <c r="D231" s="15"/>
      <c r="E231" s="13"/>
      <c r="F231" s="34" t="str" cm="1">
        <f t="array" ref="F231">IF($A231="","",GetMatchingValue($XFD$8,"Original","Control Number",F$2,$A231))</f>
        <v/>
      </c>
      <c r="G231" s="34" t="str" cm="1">
        <f t="array" ref="G231">IF($A231="","",GetMatchingValue($XFD$8,"Original","Control Number",G$2,$A231))</f>
        <v/>
      </c>
      <c r="H231" s="34" t="str" cm="1">
        <f t="array" ref="H231">IF($A231="","",GetMatchingValue($XFD$8,"Original","Control Number",H$2,$A231))</f>
        <v/>
      </c>
      <c r="I231" s="13"/>
      <c r="J231" s="13" t="str" cm="1">
        <f t="array" ref="J231">IF($A231="","",CheckControlNumberExists($XFD$9, "Original", $A231))</f>
        <v/>
      </c>
      <c r="K231" s="34" t="str" cm="1">
        <f t="array" ref="K231">IF($A231="","",IF($J231="No","",GetMatchingValue($XFD$9,"Original","Control Number",K$2,$A231)))</f>
        <v/>
      </c>
      <c r="L231" s="34" t="str" cm="1">
        <f t="array" ref="L231">IF($A231="","",IF($J231="No","",GetMatchingValue($XFD$9,"Original","Control Number",L$2,$A231)))</f>
        <v/>
      </c>
      <c r="M231" s="13" t="str">
        <f t="shared" ca="1" si="5"/>
        <v/>
      </c>
      <c r="N231" s="16"/>
      <c r="O231" s="34" t="str" cm="1">
        <f t="array" ref="O231">IF($A231="","",IF($J231="No","",GetMatchingValue($XFD$9,"Original","Control Number",O$2,$A231)))</f>
        <v/>
      </c>
      <c r="P231" s="34" t="str" cm="1">
        <f t="array" ref="P231">IF($A231="","",IF($J231="No","",GetMatchingValue($XFD$9,"Original","Control Number",P$2,$A231)))</f>
        <v/>
      </c>
      <c r="Q231" s="34" t="str" cm="1">
        <f t="array" ref="Q231">IF($A231="","",IF($J231="No","",GetMatchingValue($XFD$9,"Original","Control Number",Q$2,$A231)))</f>
        <v/>
      </c>
      <c r="R231" s="34" t="str" cm="1">
        <f t="array" ref="R231">IF($A231="","",IF($J231="No","",GetMatchingValue($XFD$9,"Original","Control Number",R$2,$A231)))</f>
        <v/>
      </c>
      <c r="S231" s="34" t="str" cm="1">
        <f t="array" ref="S231">IF($A231="","",IF($J231="No","",GetMatchingValue($XFD$9,"Original","Control Number",S$2,$A231)))</f>
        <v/>
      </c>
      <c r="T231" s="34" t="str" cm="1">
        <f t="array" ref="T231">IF($A231="","",IF($J231="No","",GetMatchingValue($XFD$9,"Original","Control Number",T$2,$A231)))</f>
        <v/>
      </c>
      <c r="U231" s="34" t="str" cm="1">
        <f t="array" ref="U231">IF($A231="","",IF($J231="No","",GetMatchingValue($XFD$9,"Original","Control Number",U$2,$A231)))</f>
        <v/>
      </c>
      <c r="V231" s="14"/>
      <c r="W231" s="17"/>
      <c r="X231" s="17"/>
      <c r="Y231" s="17"/>
      <c r="Z231" s="13"/>
      <c r="AA231" s="13"/>
      <c r="AB231" s="13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3"/>
    </row>
    <row r="232" spans="1:45" ht="40.5" customHeight="1" x14ac:dyDescent="0.2">
      <c r="A232" s="19"/>
      <c r="B232" s="19"/>
      <c r="C232" s="15"/>
      <c r="D232" s="15"/>
      <c r="E232" s="13"/>
      <c r="F232" s="34" t="str" cm="1">
        <f t="array" ref="F232">IF($A232="","",GetMatchingValue($XFD$8,"Original","Control Number",F$2,$A232))</f>
        <v/>
      </c>
      <c r="G232" s="34" t="str" cm="1">
        <f t="array" ref="G232">IF($A232="","",GetMatchingValue($XFD$8,"Original","Control Number",G$2,$A232))</f>
        <v/>
      </c>
      <c r="H232" s="34" t="str" cm="1">
        <f t="array" ref="H232">IF($A232="","",GetMatchingValue($XFD$8,"Original","Control Number",H$2,$A232))</f>
        <v/>
      </c>
      <c r="I232" s="13"/>
      <c r="J232" s="13" t="str" cm="1">
        <f t="array" ref="J232">IF($A232="","",CheckControlNumberExists($XFD$9, "Original", $A232))</f>
        <v/>
      </c>
      <c r="K232" s="34" t="str" cm="1">
        <f t="array" ref="K232">IF($A232="","",IF($J232="No","",GetMatchingValue($XFD$9,"Original","Control Number",K$2,$A232)))</f>
        <v/>
      </c>
      <c r="L232" s="34" t="str" cm="1">
        <f t="array" ref="L232">IF($A232="","",IF($J232="No","",GetMatchingValue($XFD$9,"Original","Control Number",L$2,$A232)))</f>
        <v/>
      </c>
      <c r="M232" s="13" t="str">
        <f t="shared" ca="1" si="5"/>
        <v/>
      </c>
      <c r="N232" s="16"/>
      <c r="O232" s="34" t="str" cm="1">
        <f t="array" ref="O232">IF($A232="","",IF($J232="No","",GetMatchingValue($XFD$9,"Original","Control Number",O$2,$A232)))</f>
        <v/>
      </c>
      <c r="P232" s="34" t="str" cm="1">
        <f t="array" ref="P232">IF($A232="","",IF($J232="No","",GetMatchingValue($XFD$9,"Original","Control Number",P$2,$A232)))</f>
        <v/>
      </c>
      <c r="Q232" s="34" t="str" cm="1">
        <f t="array" ref="Q232">IF($A232="","",IF($J232="No","",GetMatchingValue($XFD$9,"Original","Control Number",Q$2,$A232)))</f>
        <v/>
      </c>
      <c r="R232" s="34" t="str" cm="1">
        <f t="array" ref="R232">IF($A232="","",IF($J232="No","",GetMatchingValue($XFD$9,"Original","Control Number",R$2,$A232)))</f>
        <v/>
      </c>
      <c r="S232" s="34" t="str" cm="1">
        <f t="array" ref="S232">IF($A232="","",IF($J232="No","",GetMatchingValue($XFD$9,"Original","Control Number",S$2,$A232)))</f>
        <v/>
      </c>
      <c r="T232" s="34" t="str" cm="1">
        <f t="array" ref="T232">IF($A232="","",IF($J232="No","",GetMatchingValue($XFD$9,"Original","Control Number",T$2,$A232)))</f>
        <v/>
      </c>
      <c r="U232" s="34" t="str" cm="1">
        <f t="array" ref="U232">IF($A232="","",IF($J232="No","",GetMatchingValue($XFD$9,"Original","Control Number",U$2,$A232)))</f>
        <v/>
      </c>
      <c r="V232" s="14"/>
      <c r="W232" s="17"/>
      <c r="X232" s="17"/>
      <c r="Y232" s="17"/>
      <c r="Z232" s="13"/>
      <c r="AA232" s="13"/>
      <c r="AB232" s="13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3"/>
    </row>
    <row r="233" spans="1:45" ht="40.5" customHeight="1" x14ac:dyDescent="0.2">
      <c r="A233" s="19"/>
      <c r="B233" s="19"/>
      <c r="C233" s="15"/>
      <c r="D233" s="15"/>
      <c r="E233" s="13"/>
      <c r="F233" s="34" t="str" cm="1">
        <f t="array" ref="F233">IF($A233="","",GetMatchingValue($XFD$8,"Original","Control Number",F$2,$A233))</f>
        <v/>
      </c>
      <c r="G233" s="34" t="str" cm="1">
        <f t="array" ref="G233">IF($A233="","",GetMatchingValue($XFD$8,"Original","Control Number",G$2,$A233))</f>
        <v/>
      </c>
      <c r="H233" s="34" t="str" cm="1">
        <f t="array" ref="H233">IF($A233="","",GetMatchingValue($XFD$8,"Original","Control Number",H$2,$A233))</f>
        <v/>
      </c>
      <c r="I233" s="13"/>
      <c r="J233" s="13" t="str" cm="1">
        <f t="array" ref="J233">IF($A233="","",CheckControlNumberExists($XFD$9, "Original", $A233))</f>
        <v/>
      </c>
      <c r="K233" s="34" t="str" cm="1">
        <f t="array" ref="K233">IF($A233="","",IF($J233="No","",GetMatchingValue($XFD$9,"Original","Control Number",K$2,$A233)))</f>
        <v/>
      </c>
      <c r="L233" s="34" t="str" cm="1">
        <f t="array" ref="L233">IF($A233="","",IF($J233="No","",GetMatchingValue($XFD$9,"Original","Control Number",L$2,$A233)))</f>
        <v/>
      </c>
      <c r="M233" s="13" t="str">
        <f t="shared" ca="1" si="5"/>
        <v/>
      </c>
      <c r="N233" s="16"/>
      <c r="O233" s="34" t="str" cm="1">
        <f t="array" ref="O233">IF($A233="","",IF($J233="No","",GetMatchingValue($XFD$9,"Original","Control Number",O$2,$A233)))</f>
        <v/>
      </c>
      <c r="P233" s="34" t="str" cm="1">
        <f t="array" ref="P233">IF($A233="","",IF($J233="No","",GetMatchingValue($XFD$9,"Original","Control Number",P$2,$A233)))</f>
        <v/>
      </c>
      <c r="Q233" s="34" t="str" cm="1">
        <f t="array" ref="Q233">IF($A233="","",IF($J233="No","",GetMatchingValue($XFD$9,"Original","Control Number",Q$2,$A233)))</f>
        <v/>
      </c>
      <c r="R233" s="34" t="str" cm="1">
        <f t="array" ref="R233">IF($A233="","",IF($J233="No","",GetMatchingValue($XFD$9,"Original","Control Number",R$2,$A233)))</f>
        <v/>
      </c>
      <c r="S233" s="34" t="str" cm="1">
        <f t="array" ref="S233">IF($A233="","",IF($J233="No","",GetMatchingValue($XFD$9,"Original","Control Number",S$2,$A233)))</f>
        <v/>
      </c>
      <c r="T233" s="34" t="str" cm="1">
        <f t="array" ref="T233">IF($A233="","",IF($J233="No","",GetMatchingValue($XFD$9,"Original","Control Number",T$2,$A233)))</f>
        <v/>
      </c>
      <c r="U233" s="34" t="str" cm="1">
        <f t="array" ref="U233">IF($A233="","",IF($J233="No","",GetMatchingValue($XFD$9,"Original","Control Number",U$2,$A233)))</f>
        <v/>
      </c>
      <c r="V233" s="14"/>
      <c r="W233" s="17"/>
      <c r="X233" s="17"/>
      <c r="Y233" s="17"/>
      <c r="Z233" s="13"/>
      <c r="AA233" s="13"/>
      <c r="AB233" s="13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3"/>
    </row>
    <row r="234" spans="1:45" ht="40.5" customHeight="1" x14ac:dyDescent="0.2">
      <c r="A234" s="19"/>
      <c r="B234" s="19"/>
      <c r="C234" s="15"/>
      <c r="D234" s="15"/>
      <c r="E234" s="13"/>
      <c r="F234" s="34" t="str" cm="1">
        <f t="array" ref="F234">IF($A234="","",GetMatchingValue($XFD$8,"Original","Control Number",F$2,$A234))</f>
        <v/>
      </c>
      <c r="G234" s="34" t="str" cm="1">
        <f t="array" ref="G234">IF($A234="","",GetMatchingValue($XFD$8,"Original","Control Number",G$2,$A234))</f>
        <v/>
      </c>
      <c r="H234" s="34" t="str" cm="1">
        <f t="array" ref="H234">IF($A234="","",GetMatchingValue($XFD$8,"Original","Control Number",H$2,$A234))</f>
        <v/>
      </c>
      <c r="I234" s="13"/>
      <c r="J234" s="13" t="str" cm="1">
        <f t="array" ref="J234">IF($A234="","",CheckControlNumberExists($XFD$9, "Original", $A234))</f>
        <v/>
      </c>
      <c r="K234" s="34" t="str" cm="1">
        <f t="array" ref="K234">IF($A234="","",IF($J234="No","",GetMatchingValue($XFD$9,"Original","Control Number",K$2,$A234)))</f>
        <v/>
      </c>
      <c r="L234" s="34" t="str" cm="1">
        <f t="array" ref="L234">IF($A234="","",IF($J234="No","",GetMatchingValue($XFD$9,"Original","Control Number",L$2,$A234)))</f>
        <v/>
      </c>
      <c r="M234" s="13" t="str">
        <f t="shared" ca="1" si="5"/>
        <v/>
      </c>
      <c r="N234" s="16"/>
      <c r="O234" s="34" t="str" cm="1">
        <f t="array" ref="O234">IF($A234="","",IF($J234="No","",GetMatchingValue($XFD$9,"Original","Control Number",O$2,$A234)))</f>
        <v/>
      </c>
      <c r="P234" s="34" t="str" cm="1">
        <f t="array" ref="P234">IF($A234="","",IF($J234="No","",GetMatchingValue($XFD$9,"Original","Control Number",P$2,$A234)))</f>
        <v/>
      </c>
      <c r="Q234" s="34" t="str" cm="1">
        <f t="array" ref="Q234">IF($A234="","",IF($J234="No","",GetMatchingValue($XFD$9,"Original","Control Number",Q$2,$A234)))</f>
        <v/>
      </c>
      <c r="R234" s="34" t="str" cm="1">
        <f t="array" ref="R234">IF($A234="","",IF($J234="No","",GetMatchingValue($XFD$9,"Original","Control Number",R$2,$A234)))</f>
        <v/>
      </c>
      <c r="S234" s="34" t="str" cm="1">
        <f t="array" ref="S234">IF($A234="","",IF($J234="No","",GetMatchingValue($XFD$9,"Original","Control Number",S$2,$A234)))</f>
        <v/>
      </c>
      <c r="T234" s="34" t="str" cm="1">
        <f t="array" ref="T234">IF($A234="","",IF($J234="No","",GetMatchingValue($XFD$9,"Original","Control Number",T$2,$A234)))</f>
        <v/>
      </c>
      <c r="U234" s="34" t="str" cm="1">
        <f t="array" ref="U234">IF($A234="","",IF($J234="No","",GetMatchingValue($XFD$9,"Original","Control Number",U$2,$A234)))</f>
        <v/>
      </c>
      <c r="V234" s="14"/>
      <c r="W234" s="17"/>
      <c r="X234" s="17"/>
      <c r="Y234" s="17"/>
      <c r="Z234" s="13"/>
      <c r="AA234" s="13"/>
      <c r="AB234" s="13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3"/>
    </row>
    <row r="235" spans="1:45" ht="40.5" customHeight="1" x14ac:dyDescent="0.2">
      <c r="A235" s="19"/>
      <c r="B235" s="19"/>
      <c r="C235" s="15"/>
      <c r="D235" s="15"/>
      <c r="E235" s="13"/>
      <c r="F235" s="34" t="str" cm="1">
        <f t="array" ref="F235">IF($A235="","",GetMatchingValue($XFD$8,"Original","Control Number",F$2,$A235))</f>
        <v/>
      </c>
      <c r="G235" s="34" t="str" cm="1">
        <f t="array" ref="G235">IF($A235="","",GetMatchingValue($XFD$8,"Original","Control Number",G$2,$A235))</f>
        <v/>
      </c>
      <c r="H235" s="34" t="str" cm="1">
        <f t="array" ref="H235">IF($A235="","",GetMatchingValue($XFD$8,"Original","Control Number",H$2,$A235))</f>
        <v/>
      </c>
      <c r="I235" s="13"/>
      <c r="J235" s="13" t="str" cm="1">
        <f t="array" ref="J235">IF($A235="","",CheckControlNumberExists($XFD$9, "Original", $A235))</f>
        <v/>
      </c>
      <c r="K235" s="34" t="str" cm="1">
        <f t="array" ref="K235">IF($A235="","",IF($J235="No","",GetMatchingValue($XFD$9,"Original","Control Number",K$2,$A235)))</f>
        <v/>
      </c>
      <c r="L235" s="34" t="str" cm="1">
        <f t="array" ref="L235">IF($A235="","",IF($J235="No","",GetMatchingValue($XFD$9,"Original","Control Number",L$2,$A235)))</f>
        <v/>
      </c>
      <c r="M235" s="13" t="str">
        <f t="shared" ca="1" si="5"/>
        <v/>
      </c>
      <c r="N235" s="16"/>
      <c r="O235" s="34" t="str" cm="1">
        <f t="array" ref="O235">IF($A235="","",IF($J235="No","",GetMatchingValue($XFD$9,"Original","Control Number",O$2,$A235)))</f>
        <v/>
      </c>
      <c r="P235" s="34" t="str" cm="1">
        <f t="array" ref="P235">IF($A235="","",IF($J235="No","",GetMatchingValue($XFD$9,"Original","Control Number",P$2,$A235)))</f>
        <v/>
      </c>
      <c r="Q235" s="34" t="str" cm="1">
        <f t="array" ref="Q235">IF($A235="","",IF($J235="No","",GetMatchingValue($XFD$9,"Original","Control Number",Q$2,$A235)))</f>
        <v/>
      </c>
      <c r="R235" s="34" t="str" cm="1">
        <f t="array" ref="R235">IF($A235="","",IF($J235="No","",GetMatchingValue($XFD$9,"Original","Control Number",R$2,$A235)))</f>
        <v/>
      </c>
      <c r="S235" s="34" t="str" cm="1">
        <f t="array" ref="S235">IF($A235="","",IF($J235="No","",GetMatchingValue($XFD$9,"Original","Control Number",S$2,$A235)))</f>
        <v/>
      </c>
      <c r="T235" s="34" t="str" cm="1">
        <f t="array" ref="T235">IF($A235="","",IF($J235="No","",GetMatchingValue($XFD$9,"Original","Control Number",T$2,$A235)))</f>
        <v/>
      </c>
      <c r="U235" s="34" t="str" cm="1">
        <f t="array" ref="U235">IF($A235="","",IF($J235="No","",GetMatchingValue($XFD$9,"Original","Control Number",U$2,$A235)))</f>
        <v/>
      </c>
      <c r="V235" s="14"/>
      <c r="W235" s="17"/>
      <c r="X235" s="17"/>
      <c r="Y235" s="17"/>
      <c r="Z235" s="13"/>
      <c r="AA235" s="13"/>
      <c r="AB235" s="13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3"/>
    </row>
    <row r="236" spans="1:45" ht="40.5" customHeight="1" x14ac:dyDescent="0.2">
      <c r="A236" s="19"/>
      <c r="B236" s="19"/>
      <c r="C236" s="15"/>
      <c r="D236" s="15"/>
      <c r="E236" s="13"/>
      <c r="F236" s="34" t="str" cm="1">
        <f t="array" ref="F236">IF($A236="","",GetMatchingValue($XFD$8,"Original","Control Number",F$2,$A236))</f>
        <v/>
      </c>
      <c r="G236" s="34" t="str" cm="1">
        <f t="array" ref="G236">IF($A236="","",GetMatchingValue($XFD$8,"Original","Control Number",G$2,$A236))</f>
        <v/>
      </c>
      <c r="H236" s="34" t="str" cm="1">
        <f t="array" ref="H236">IF($A236="","",GetMatchingValue($XFD$8,"Original","Control Number",H$2,$A236))</f>
        <v/>
      </c>
      <c r="I236" s="13"/>
      <c r="J236" s="13" t="str" cm="1">
        <f t="array" ref="J236">IF($A236="","",CheckControlNumberExists($XFD$9, "Original", $A236))</f>
        <v/>
      </c>
      <c r="K236" s="34" t="str" cm="1">
        <f t="array" ref="K236">IF($A236="","",IF($J236="No","",GetMatchingValue($XFD$9,"Original","Control Number",K$2,$A236)))</f>
        <v/>
      </c>
      <c r="L236" s="34" t="str" cm="1">
        <f t="array" ref="L236">IF($A236="","",IF($J236="No","",GetMatchingValue($XFD$9,"Original","Control Number",L$2,$A236)))</f>
        <v/>
      </c>
      <c r="M236" s="13" t="str">
        <f t="shared" ca="1" si="5"/>
        <v/>
      </c>
      <c r="N236" s="16"/>
      <c r="O236" s="34" t="str" cm="1">
        <f t="array" ref="O236">IF($A236="","",IF($J236="No","",GetMatchingValue($XFD$9,"Original","Control Number",O$2,$A236)))</f>
        <v/>
      </c>
      <c r="P236" s="34" t="str" cm="1">
        <f t="array" ref="P236">IF($A236="","",IF($J236="No","",GetMatchingValue($XFD$9,"Original","Control Number",P$2,$A236)))</f>
        <v/>
      </c>
      <c r="Q236" s="34" t="str" cm="1">
        <f t="array" ref="Q236">IF($A236="","",IF($J236="No","",GetMatchingValue($XFD$9,"Original","Control Number",Q$2,$A236)))</f>
        <v/>
      </c>
      <c r="R236" s="34" t="str" cm="1">
        <f t="array" ref="R236">IF($A236="","",IF($J236="No","",GetMatchingValue($XFD$9,"Original","Control Number",R$2,$A236)))</f>
        <v/>
      </c>
      <c r="S236" s="34" t="str" cm="1">
        <f t="array" ref="S236">IF($A236="","",IF($J236="No","",GetMatchingValue($XFD$9,"Original","Control Number",S$2,$A236)))</f>
        <v/>
      </c>
      <c r="T236" s="34" t="str" cm="1">
        <f t="array" ref="T236">IF($A236="","",IF($J236="No","",GetMatchingValue($XFD$9,"Original","Control Number",T$2,$A236)))</f>
        <v/>
      </c>
      <c r="U236" s="34" t="str" cm="1">
        <f t="array" ref="U236">IF($A236="","",IF($J236="No","",GetMatchingValue($XFD$9,"Original","Control Number",U$2,$A236)))</f>
        <v/>
      </c>
      <c r="V236" s="14"/>
      <c r="W236" s="17"/>
      <c r="X236" s="17"/>
      <c r="Y236" s="17"/>
      <c r="Z236" s="13"/>
      <c r="AA236" s="13"/>
      <c r="AB236" s="13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3"/>
    </row>
    <row r="237" spans="1:45" ht="40.5" customHeight="1" x14ac:dyDescent="0.2">
      <c r="A237" s="19"/>
      <c r="B237" s="19"/>
      <c r="C237" s="15"/>
      <c r="D237" s="15"/>
      <c r="E237" s="13"/>
      <c r="F237" s="34" t="str" cm="1">
        <f t="array" ref="F237">IF($A237="","",GetMatchingValue($XFD$8,"Original","Control Number",F$2,$A237))</f>
        <v/>
      </c>
      <c r="G237" s="34" t="str" cm="1">
        <f t="array" ref="G237">IF($A237="","",GetMatchingValue($XFD$8,"Original","Control Number",G$2,$A237))</f>
        <v/>
      </c>
      <c r="H237" s="34" t="str" cm="1">
        <f t="array" ref="H237">IF($A237="","",GetMatchingValue($XFD$8,"Original","Control Number",H$2,$A237))</f>
        <v/>
      </c>
      <c r="I237" s="13"/>
      <c r="J237" s="13" t="str" cm="1">
        <f t="array" ref="J237">IF($A237="","",CheckControlNumberExists($XFD$9, "Original", $A237))</f>
        <v/>
      </c>
      <c r="K237" s="34" t="str" cm="1">
        <f t="array" ref="K237">IF($A237="","",IF($J237="No","",GetMatchingValue($XFD$9,"Original","Control Number",K$2,$A237)))</f>
        <v/>
      </c>
      <c r="L237" s="34" t="str" cm="1">
        <f t="array" ref="L237">IF($A237="","",IF($J237="No","",GetMatchingValue($XFD$9,"Original","Control Number",L$2,$A237)))</f>
        <v/>
      </c>
      <c r="M237" s="13" t="str">
        <f t="shared" ca="1" si="5"/>
        <v/>
      </c>
      <c r="N237" s="16"/>
      <c r="O237" s="34" t="str" cm="1">
        <f t="array" ref="O237">IF($A237="","",IF($J237="No","",GetMatchingValue($XFD$9,"Original","Control Number",O$2,$A237)))</f>
        <v/>
      </c>
      <c r="P237" s="34" t="str" cm="1">
        <f t="array" ref="P237">IF($A237="","",IF($J237="No","",GetMatchingValue($XFD$9,"Original","Control Number",P$2,$A237)))</f>
        <v/>
      </c>
      <c r="Q237" s="34" t="str" cm="1">
        <f t="array" ref="Q237">IF($A237="","",IF($J237="No","",GetMatchingValue($XFD$9,"Original","Control Number",Q$2,$A237)))</f>
        <v/>
      </c>
      <c r="R237" s="34" t="str" cm="1">
        <f t="array" ref="R237">IF($A237="","",IF($J237="No","",GetMatchingValue($XFD$9,"Original","Control Number",R$2,$A237)))</f>
        <v/>
      </c>
      <c r="S237" s="34" t="str" cm="1">
        <f t="array" ref="S237">IF($A237="","",IF($J237="No","",GetMatchingValue($XFD$9,"Original","Control Number",S$2,$A237)))</f>
        <v/>
      </c>
      <c r="T237" s="34" t="str" cm="1">
        <f t="array" ref="T237">IF($A237="","",IF($J237="No","",GetMatchingValue($XFD$9,"Original","Control Number",T$2,$A237)))</f>
        <v/>
      </c>
      <c r="U237" s="34" t="str" cm="1">
        <f t="array" ref="U237">IF($A237="","",IF($J237="No","",GetMatchingValue($XFD$9,"Original","Control Number",U$2,$A237)))</f>
        <v/>
      </c>
      <c r="V237" s="14"/>
      <c r="W237" s="17"/>
      <c r="X237" s="17"/>
      <c r="Y237" s="17"/>
      <c r="Z237" s="13"/>
      <c r="AA237" s="13"/>
      <c r="AB237" s="13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3"/>
    </row>
    <row r="238" spans="1:45" ht="40.5" customHeight="1" x14ac:dyDescent="0.2">
      <c r="A238" s="19"/>
      <c r="B238" s="19"/>
      <c r="C238" s="15"/>
      <c r="D238" s="15"/>
      <c r="E238" s="13"/>
      <c r="F238" s="34" t="str" cm="1">
        <f t="array" ref="F238">IF($A238="","",GetMatchingValue($XFD$8,"Original","Control Number",F$2,$A238))</f>
        <v/>
      </c>
      <c r="G238" s="34" t="str" cm="1">
        <f t="array" ref="G238">IF($A238="","",GetMatchingValue($XFD$8,"Original","Control Number",G$2,$A238))</f>
        <v/>
      </c>
      <c r="H238" s="34" t="str" cm="1">
        <f t="array" ref="H238">IF($A238="","",GetMatchingValue($XFD$8,"Original","Control Number",H$2,$A238))</f>
        <v/>
      </c>
      <c r="I238" s="13"/>
      <c r="J238" s="13" t="str" cm="1">
        <f t="array" ref="J238">IF($A238="","",CheckControlNumberExists($XFD$9, "Original", $A238))</f>
        <v/>
      </c>
      <c r="K238" s="34" t="str" cm="1">
        <f t="array" ref="K238">IF($A238="","",IF($J238="No","",GetMatchingValue($XFD$9,"Original","Control Number",K$2,$A238)))</f>
        <v/>
      </c>
      <c r="L238" s="34" t="str" cm="1">
        <f t="array" ref="L238">IF($A238="","",IF($J238="No","",GetMatchingValue($XFD$9,"Original","Control Number",L$2,$A238)))</f>
        <v/>
      </c>
      <c r="M238" s="13" t="str">
        <f t="shared" ca="1" si="5"/>
        <v/>
      </c>
      <c r="N238" s="16"/>
      <c r="O238" s="34" t="str" cm="1">
        <f t="array" ref="O238">IF($A238="","",IF($J238="No","",GetMatchingValue($XFD$9,"Original","Control Number",O$2,$A238)))</f>
        <v/>
      </c>
      <c r="P238" s="34" t="str" cm="1">
        <f t="array" ref="P238">IF($A238="","",IF($J238="No","",GetMatchingValue($XFD$9,"Original","Control Number",P$2,$A238)))</f>
        <v/>
      </c>
      <c r="Q238" s="34" t="str" cm="1">
        <f t="array" ref="Q238">IF($A238="","",IF($J238="No","",GetMatchingValue($XFD$9,"Original","Control Number",Q$2,$A238)))</f>
        <v/>
      </c>
      <c r="R238" s="34" t="str" cm="1">
        <f t="array" ref="R238">IF($A238="","",IF($J238="No","",GetMatchingValue($XFD$9,"Original","Control Number",R$2,$A238)))</f>
        <v/>
      </c>
      <c r="S238" s="34" t="str" cm="1">
        <f t="array" ref="S238">IF($A238="","",IF($J238="No","",GetMatchingValue($XFD$9,"Original","Control Number",S$2,$A238)))</f>
        <v/>
      </c>
      <c r="T238" s="34" t="str" cm="1">
        <f t="array" ref="T238">IF($A238="","",IF($J238="No","",GetMatchingValue($XFD$9,"Original","Control Number",T$2,$A238)))</f>
        <v/>
      </c>
      <c r="U238" s="34" t="str" cm="1">
        <f t="array" ref="U238">IF($A238="","",IF($J238="No","",GetMatchingValue($XFD$9,"Original","Control Number",U$2,$A238)))</f>
        <v/>
      </c>
      <c r="V238" s="14"/>
      <c r="W238" s="17"/>
      <c r="X238" s="17"/>
      <c r="Y238" s="17"/>
      <c r="Z238" s="13"/>
      <c r="AA238" s="13"/>
      <c r="AB238" s="13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3"/>
    </row>
    <row r="239" spans="1:45" ht="40.5" customHeight="1" x14ac:dyDescent="0.2">
      <c r="A239" s="19"/>
      <c r="B239" s="19"/>
      <c r="C239" s="15"/>
      <c r="D239" s="15"/>
      <c r="E239" s="13"/>
      <c r="F239" s="34" t="str" cm="1">
        <f t="array" ref="F239">IF($A239="","",GetMatchingValue($XFD$8,"Original","Control Number",F$2,$A239))</f>
        <v/>
      </c>
      <c r="G239" s="34" t="str" cm="1">
        <f t="array" ref="G239">IF($A239="","",GetMatchingValue($XFD$8,"Original","Control Number",G$2,$A239))</f>
        <v/>
      </c>
      <c r="H239" s="34" t="str" cm="1">
        <f t="array" ref="H239">IF($A239="","",GetMatchingValue($XFD$8,"Original","Control Number",H$2,$A239))</f>
        <v/>
      </c>
      <c r="I239" s="13"/>
      <c r="J239" s="13" t="str" cm="1">
        <f t="array" ref="J239">IF($A239="","",CheckControlNumberExists($XFD$9, "Original", $A239))</f>
        <v/>
      </c>
      <c r="K239" s="34" t="str" cm="1">
        <f t="array" ref="K239">IF($A239="","",IF($J239="No","",GetMatchingValue($XFD$9,"Original","Control Number",K$2,$A239)))</f>
        <v/>
      </c>
      <c r="L239" s="34" t="str" cm="1">
        <f t="array" ref="L239">IF($A239="","",IF($J239="No","",GetMatchingValue($XFD$9,"Original","Control Number",L$2,$A239)))</f>
        <v/>
      </c>
      <c r="M239" s="13" t="str">
        <f t="shared" ca="1" si="5"/>
        <v/>
      </c>
      <c r="N239" s="16"/>
      <c r="O239" s="34" t="str" cm="1">
        <f t="array" ref="O239">IF($A239="","",IF($J239="No","",GetMatchingValue($XFD$9,"Original","Control Number",O$2,$A239)))</f>
        <v/>
      </c>
      <c r="P239" s="34" t="str" cm="1">
        <f t="array" ref="P239">IF($A239="","",IF($J239="No","",GetMatchingValue($XFD$9,"Original","Control Number",P$2,$A239)))</f>
        <v/>
      </c>
      <c r="Q239" s="34" t="str" cm="1">
        <f t="array" ref="Q239">IF($A239="","",IF($J239="No","",GetMatchingValue($XFD$9,"Original","Control Number",Q$2,$A239)))</f>
        <v/>
      </c>
      <c r="R239" s="34" t="str" cm="1">
        <f t="array" ref="R239">IF($A239="","",IF($J239="No","",GetMatchingValue($XFD$9,"Original","Control Number",R$2,$A239)))</f>
        <v/>
      </c>
      <c r="S239" s="34" t="str" cm="1">
        <f t="array" ref="S239">IF($A239="","",IF($J239="No","",GetMatchingValue($XFD$9,"Original","Control Number",S$2,$A239)))</f>
        <v/>
      </c>
      <c r="T239" s="34" t="str" cm="1">
        <f t="array" ref="T239">IF($A239="","",IF($J239="No","",GetMatchingValue($XFD$9,"Original","Control Number",T$2,$A239)))</f>
        <v/>
      </c>
      <c r="U239" s="34" t="str" cm="1">
        <f t="array" ref="U239">IF($A239="","",IF($J239="No","",GetMatchingValue($XFD$9,"Original","Control Number",U$2,$A239)))</f>
        <v/>
      </c>
      <c r="V239" s="14"/>
      <c r="W239" s="17"/>
      <c r="X239" s="17"/>
      <c r="Y239" s="17"/>
      <c r="Z239" s="13"/>
      <c r="AA239" s="13"/>
      <c r="AB239" s="13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3"/>
    </row>
    <row r="240" spans="1:45" ht="40.5" customHeight="1" x14ac:dyDescent="0.2">
      <c r="A240" s="19"/>
      <c r="B240" s="19"/>
      <c r="C240" s="15"/>
      <c r="D240" s="15"/>
      <c r="E240" s="13"/>
      <c r="F240" s="34" t="str" cm="1">
        <f t="array" ref="F240">IF($A240="","",GetMatchingValue($XFD$8,"Original","Control Number",F$2,$A240))</f>
        <v/>
      </c>
      <c r="G240" s="34" t="str" cm="1">
        <f t="array" ref="G240">IF($A240="","",GetMatchingValue($XFD$8,"Original","Control Number",G$2,$A240))</f>
        <v/>
      </c>
      <c r="H240" s="34" t="str" cm="1">
        <f t="array" ref="H240">IF($A240="","",GetMatchingValue($XFD$8,"Original","Control Number",H$2,$A240))</f>
        <v/>
      </c>
      <c r="I240" s="13"/>
      <c r="J240" s="13" t="str" cm="1">
        <f t="array" ref="J240">IF($A240="","",CheckControlNumberExists($XFD$9, "Original", $A240))</f>
        <v/>
      </c>
      <c r="K240" s="34" t="str" cm="1">
        <f t="array" ref="K240">IF($A240="","",IF($J240="No","",GetMatchingValue($XFD$9,"Original","Control Number",K$2,$A240)))</f>
        <v/>
      </c>
      <c r="L240" s="34" t="str" cm="1">
        <f t="array" ref="L240">IF($A240="","",IF($J240="No","",GetMatchingValue($XFD$9,"Original","Control Number",L$2,$A240)))</f>
        <v/>
      </c>
      <c r="M240" s="13" t="str">
        <f t="shared" ca="1" si="5"/>
        <v/>
      </c>
      <c r="N240" s="16"/>
      <c r="O240" s="34" t="str" cm="1">
        <f t="array" ref="O240">IF($A240="","",IF($J240="No","",GetMatchingValue($XFD$9,"Original","Control Number",O$2,$A240)))</f>
        <v/>
      </c>
      <c r="P240" s="34" t="str" cm="1">
        <f t="array" ref="P240">IF($A240="","",IF($J240="No","",GetMatchingValue($XFD$9,"Original","Control Number",P$2,$A240)))</f>
        <v/>
      </c>
      <c r="Q240" s="34" t="str" cm="1">
        <f t="array" ref="Q240">IF($A240="","",IF($J240="No","",GetMatchingValue($XFD$9,"Original","Control Number",Q$2,$A240)))</f>
        <v/>
      </c>
      <c r="R240" s="34" t="str" cm="1">
        <f t="array" ref="R240">IF($A240="","",IF($J240="No","",GetMatchingValue($XFD$9,"Original","Control Number",R$2,$A240)))</f>
        <v/>
      </c>
      <c r="S240" s="34" t="str" cm="1">
        <f t="array" ref="S240">IF($A240="","",IF($J240="No","",GetMatchingValue($XFD$9,"Original","Control Number",S$2,$A240)))</f>
        <v/>
      </c>
      <c r="T240" s="34" t="str" cm="1">
        <f t="array" ref="T240">IF($A240="","",IF($J240="No","",GetMatchingValue($XFD$9,"Original","Control Number",T$2,$A240)))</f>
        <v/>
      </c>
      <c r="U240" s="34" t="str" cm="1">
        <f t="array" ref="U240">IF($A240="","",IF($J240="No","",GetMatchingValue($XFD$9,"Original","Control Number",U$2,$A240)))</f>
        <v/>
      </c>
      <c r="V240" s="14"/>
      <c r="W240" s="17"/>
      <c r="X240" s="17"/>
      <c r="Y240" s="17"/>
      <c r="Z240" s="13"/>
      <c r="AA240" s="13"/>
      <c r="AB240" s="13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3"/>
    </row>
    <row r="241" spans="1:45" ht="40.5" customHeight="1" x14ac:dyDescent="0.2">
      <c r="A241" s="19"/>
      <c r="B241" s="19"/>
      <c r="C241" s="15"/>
      <c r="D241" s="15"/>
      <c r="E241" s="13"/>
      <c r="F241" s="34" t="str" cm="1">
        <f t="array" ref="F241">IF($A241="","",GetMatchingValue($XFD$8,"Original","Control Number",F$2,$A241))</f>
        <v/>
      </c>
      <c r="G241" s="34" t="str" cm="1">
        <f t="array" ref="G241">IF($A241="","",GetMatchingValue($XFD$8,"Original","Control Number",G$2,$A241))</f>
        <v/>
      </c>
      <c r="H241" s="34" t="str" cm="1">
        <f t="array" ref="H241">IF($A241="","",GetMatchingValue($XFD$8,"Original","Control Number",H$2,$A241))</f>
        <v/>
      </c>
      <c r="I241" s="13"/>
      <c r="J241" s="13" t="str" cm="1">
        <f t="array" ref="J241">IF($A241="","",CheckControlNumberExists($XFD$9, "Original", $A241))</f>
        <v/>
      </c>
      <c r="K241" s="34" t="str" cm="1">
        <f t="array" ref="K241">IF($A241="","",IF($J241="No","",GetMatchingValue($XFD$9,"Original","Control Number",K$2,$A241)))</f>
        <v/>
      </c>
      <c r="L241" s="34" t="str" cm="1">
        <f t="array" ref="L241">IF($A241="","",IF($J241="No","",GetMatchingValue($XFD$9,"Original","Control Number",L$2,$A241)))</f>
        <v/>
      </c>
      <c r="M241" s="13" t="str">
        <f t="shared" ca="1" si="5"/>
        <v/>
      </c>
      <c r="N241" s="16"/>
      <c r="O241" s="34" t="str" cm="1">
        <f t="array" ref="O241">IF($A241="","",IF($J241="No","",GetMatchingValue($XFD$9,"Original","Control Number",O$2,$A241)))</f>
        <v/>
      </c>
      <c r="P241" s="34" t="str" cm="1">
        <f t="array" ref="P241">IF($A241="","",IF($J241="No","",GetMatchingValue($XFD$9,"Original","Control Number",P$2,$A241)))</f>
        <v/>
      </c>
      <c r="Q241" s="34" t="str" cm="1">
        <f t="array" ref="Q241">IF($A241="","",IF($J241="No","",GetMatchingValue($XFD$9,"Original","Control Number",Q$2,$A241)))</f>
        <v/>
      </c>
      <c r="R241" s="34" t="str" cm="1">
        <f t="array" ref="R241">IF($A241="","",IF($J241="No","",GetMatchingValue($XFD$9,"Original","Control Number",R$2,$A241)))</f>
        <v/>
      </c>
      <c r="S241" s="34" t="str" cm="1">
        <f t="array" ref="S241">IF($A241="","",IF($J241="No","",GetMatchingValue($XFD$9,"Original","Control Number",S$2,$A241)))</f>
        <v/>
      </c>
      <c r="T241" s="34" t="str" cm="1">
        <f t="array" ref="T241">IF($A241="","",IF($J241="No","",GetMatchingValue($XFD$9,"Original","Control Number",T$2,$A241)))</f>
        <v/>
      </c>
      <c r="U241" s="34" t="str" cm="1">
        <f t="array" ref="U241">IF($A241="","",IF($J241="No","",GetMatchingValue($XFD$9,"Original","Control Number",U$2,$A241)))</f>
        <v/>
      </c>
      <c r="V241" s="14"/>
      <c r="W241" s="17"/>
      <c r="X241" s="17"/>
      <c r="Y241" s="17"/>
      <c r="Z241" s="13"/>
      <c r="AA241" s="13"/>
      <c r="AB241" s="13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3"/>
    </row>
    <row r="242" spans="1:45" ht="40.5" customHeight="1" x14ac:dyDescent="0.2">
      <c r="A242" s="19"/>
      <c r="B242" s="19"/>
      <c r="C242" s="15"/>
      <c r="D242" s="15"/>
      <c r="E242" s="13"/>
      <c r="F242" s="34" t="str" cm="1">
        <f t="array" ref="F242">IF($A242="","",GetMatchingValue($XFD$8,"Original","Control Number",F$2,$A242))</f>
        <v/>
      </c>
      <c r="G242" s="34" t="str" cm="1">
        <f t="array" ref="G242">IF($A242="","",GetMatchingValue($XFD$8,"Original","Control Number",G$2,$A242))</f>
        <v/>
      </c>
      <c r="H242" s="34" t="str" cm="1">
        <f t="array" ref="H242">IF($A242="","",GetMatchingValue($XFD$8,"Original","Control Number",H$2,$A242))</f>
        <v/>
      </c>
      <c r="I242" s="13"/>
      <c r="J242" s="13" t="str" cm="1">
        <f t="array" ref="J242">IF($A242="","",CheckControlNumberExists($XFD$9, "Original", $A242))</f>
        <v/>
      </c>
      <c r="K242" s="34" t="str" cm="1">
        <f t="array" ref="K242">IF($A242="","",IF($J242="No","",GetMatchingValue($XFD$9,"Original","Control Number",K$2,$A242)))</f>
        <v/>
      </c>
      <c r="L242" s="34" t="str" cm="1">
        <f t="array" ref="L242">IF($A242="","",IF($J242="No","",GetMatchingValue($XFD$9,"Original","Control Number",L$2,$A242)))</f>
        <v/>
      </c>
      <c r="M242" s="13" t="str">
        <f t="shared" ca="1" si="5"/>
        <v/>
      </c>
      <c r="N242" s="16"/>
      <c r="O242" s="34" t="str" cm="1">
        <f t="array" ref="O242">IF($A242="","",IF($J242="No","",GetMatchingValue($XFD$9,"Original","Control Number",O$2,$A242)))</f>
        <v/>
      </c>
      <c r="P242" s="34" t="str" cm="1">
        <f t="array" ref="P242">IF($A242="","",IF($J242="No","",GetMatchingValue($XFD$9,"Original","Control Number",P$2,$A242)))</f>
        <v/>
      </c>
      <c r="Q242" s="34" t="str" cm="1">
        <f t="array" ref="Q242">IF($A242="","",IF($J242="No","",GetMatchingValue($XFD$9,"Original","Control Number",Q$2,$A242)))</f>
        <v/>
      </c>
      <c r="R242" s="34" t="str" cm="1">
        <f t="array" ref="R242">IF($A242="","",IF($J242="No","",GetMatchingValue($XFD$9,"Original","Control Number",R$2,$A242)))</f>
        <v/>
      </c>
      <c r="S242" s="34" t="str" cm="1">
        <f t="array" ref="S242">IF($A242="","",IF($J242="No","",GetMatchingValue($XFD$9,"Original","Control Number",S$2,$A242)))</f>
        <v/>
      </c>
      <c r="T242" s="34" t="str" cm="1">
        <f t="array" ref="T242">IF($A242="","",IF($J242="No","",GetMatchingValue($XFD$9,"Original","Control Number",T$2,$A242)))</f>
        <v/>
      </c>
      <c r="U242" s="34" t="str" cm="1">
        <f t="array" ref="U242">IF($A242="","",IF($J242="No","",GetMatchingValue($XFD$9,"Original","Control Number",U$2,$A242)))</f>
        <v/>
      </c>
      <c r="V242" s="14"/>
      <c r="W242" s="17"/>
      <c r="X242" s="17"/>
      <c r="Y242" s="17"/>
      <c r="Z242" s="13"/>
      <c r="AA242" s="13"/>
      <c r="AB242" s="13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3"/>
    </row>
    <row r="243" spans="1:45" ht="40.5" customHeight="1" x14ac:dyDescent="0.2">
      <c r="A243" s="19"/>
      <c r="B243" s="19"/>
      <c r="C243" s="15"/>
      <c r="D243" s="15"/>
      <c r="E243" s="13"/>
      <c r="F243" s="34" t="str" cm="1">
        <f t="array" ref="F243">IF($A243="","",GetMatchingValue($XFD$8,"Original","Control Number",F$2,$A243))</f>
        <v/>
      </c>
      <c r="G243" s="34" t="str" cm="1">
        <f t="array" ref="G243">IF($A243="","",GetMatchingValue($XFD$8,"Original","Control Number",G$2,$A243))</f>
        <v/>
      </c>
      <c r="H243" s="34" t="str" cm="1">
        <f t="array" ref="H243">IF($A243="","",GetMatchingValue($XFD$8,"Original","Control Number",H$2,$A243))</f>
        <v/>
      </c>
      <c r="I243" s="13"/>
      <c r="J243" s="13" t="str" cm="1">
        <f t="array" ref="J243">IF($A243="","",CheckControlNumberExists($XFD$9, "Original", $A243))</f>
        <v/>
      </c>
      <c r="K243" s="34" t="str" cm="1">
        <f t="array" ref="K243">IF($A243="","",IF($J243="No","",GetMatchingValue($XFD$9,"Original","Control Number",K$2,$A243)))</f>
        <v/>
      </c>
      <c r="L243" s="34" t="str" cm="1">
        <f t="array" ref="L243">IF($A243="","",IF($J243="No","",GetMatchingValue($XFD$9,"Original","Control Number",L$2,$A243)))</f>
        <v/>
      </c>
      <c r="M243" s="13" t="str">
        <f t="shared" ca="1" si="5"/>
        <v/>
      </c>
      <c r="N243" s="16"/>
      <c r="O243" s="34" t="str" cm="1">
        <f t="array" ref="O243">IF($A243="","",IF($J243="No","",GetMatchingValue($XFD$9,"Original","Control Number",O$2,$A243)))</f>
        <v/>
      </c>
      <c r="P243" s="34" t="str" cm="1">
        <f t="array" ref="P243">IF($A243="","",IF($J243="No","",GetMatchingValue($XFD$9,"Original","Control Number",P$2,$A243)))</f>
        <v/>
      </c>
      <c r="Q243" s="34" t="str" cm="1">
        <f t="array" ref="Q243">IF($A243="","",IF($J243="No","",GetMatchingValue($XFD$9,"Original","Control Number",Q$2,$A243)))</f>
        <v/>
      </c>
      <c r="R243" s="34" t="str" cm="1">
        <f t="array" ref="R243">IF($A243="","",IF($J243="No","",GetMatchingValue($XFD$9,"Original","Control Number",R$2,$A243)))</f>
        <v/>
      </c>
      <c r="S243" s="34" t="str" cm="1">
        <f t="array" ref="S243">IF($A243="","",IF($J243="No","",GetMatchingValue($XFD$9,"Original","Control Number",S$2,$A243)))</f>
        <v/>
      </c>
      <c r="T243" s="34" t="str" cm="1">
        <f t="array" ref="T243">IF($A243="","",IF($J243="No","",GetMatchingValue($XFD$9,"Original","Control Number",T$2,$A243)))</f>
        <v/>
      </c>
      <c r="U243" s="34" t="str" cm="1">
        <f t="array" ref="U243">IF($A243="","",IF($J243="No","",GetMatchingValue($XFD$9,"Original","Control Number",U$2,$A243)))</f>
        <v/>
      </c>
      <c r="V243" s="14"/>
      <c r="W243" s="17"/>
      <c r="X243" s="17"/>
      <c r="Y243" s="17"/>
      <c r="Z243" s="13"/>
      <c r="AA243" s="13"/>
      <c r="AB243" s="13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3"/>
    </row>
    <row r="244" spans="1:45" ht="40.5" customHeight="1" x14ac:dyDescent="0.2">
      <c r="A244" s="19"/>
      <c r="B244" s="19"/>
      <c r="C244" s="15"/>
      <c r="D244" s="15"/>
      <c r="E244" s="13"/>
      <c r="F244" s="34" t="str" cm="1">
        <f t="array" ref="F244">IF($A244="","",GetMatchingValue($XFD$8,"Original","Control Number",F$2,$A244))</f>
        <v/>
      </c>
      <c r="G244" s="34" t="str" cm="1">
        <f t="array" ref="G244">IF($A244="","",GetMatchingValue($XFD$8,"Original","Control Number",G$2,$A244))</f>
        <v/>
      </c>
      <c r="H244" s="34" t="str" cm="1">
        <f t="array" ref="H244">IF($A244="","",GetMatchingValue($XFD$8,"Original","Control Number",H$2,$A244))</f>
        <v/>
      </c>
      <c r="I244" s="13"/>
      <c r="J244" s="13" t="str" cm="1">
        <f t="array" ref="J244">IF($A244="","",CheckControlNumberExists($XFD$9, "Original", $A244))</f>
        <v/>
      </c>
      <c r="K244" s="34" t="str" cm="1">
        <f t="array" ref="K244">IF($A244="","",IF($J244="No","",GetMatchingValue($XFD$9,"Original","Control Number",K$2,$A244)))</f>
        <v/>
      </c>
      <c r="L244" s="34" t="str" cm="1">
        <f t="array" ref="L244">IF($A244="","",IF($J244="No","",GetMatchingValue($XFD$9,"Original","Control Number",L$2,$A244)))</f>
        <v/>
      </c>
      <c r="M244" s="13" t="str">
        <f t="shared" ca="1" si="5"/>
        <v/>
      </c>
      <c r="N244" s="16"/>
      <c r="O244" s="34" t="str" cm="1">
        <f t="array" ref="O244">IF($A244="","",IF($J244="No","",GetMatchingValue($XFD$9,"Original","Control Number",O$2,$A244)))</f>
        <v/>
      </c>
      <c r="P244" s="34" t="str" cm="1">
        <f t="array" ref="P244">IF($A244="","",IF($J244="No","",GetMatchingValue($XFD$9,"Original","Control Number",P$2,$A244)))</f>
        <v/>
      </c>
      <c r="Q244" s="34" t="str" cm="1">
        <f t="array" ref="Q244">IF($A244="","",IF($J244="No","",GetMatchingValue($XFD$9,"Original","Control Number",Q$2,$A244)))</f>
        <v/>
      </c>
      <c r="R244" s="34" t="str" cm="1">
        <f t="array" ref="R244">IF($A244="","",IF($J244="No","",GetMatchingValue($XFD$9,"Original","Control Number",R$2,$A244)))</f>
        <v/>
      </c>
      <c r="S244" s="34" t="str" cm="1">
        <f t="array" ref="S244">IF($A244="","",IF($J244="No","",GetMatchingValue($XFD$9,"Original","Control Number",S$2,$A244)))</f>
        <v/>
      </c>
      <c r="T244" s="34" t="str" cm="1">
        <f t="array" ref="T244">IF($A244="","",IF($J244="No","",GetMatchingValue($XFD$9,"Original","Control Number",T$2,$A244)))</f>
        <v/>
      </c>
      <c r="U244" s="34" t="str" cm="1">
        <f t="array" ref="U244">IF($A244="","",IF($J244="No","",GetMatchingValue($XFD$9,"Original","Control Number",U$2,$A244)))</f>
        <v/>
      </c>
      <c r="V244" s="14"/>
      <c r="W244" s="17"/>
      <c r="X244" s="17"/>
      <c r="Y244" s="17"/>
      <c r="Z244" s="13"/>
      <c r="AA244" s="13"/>
      <c r="AB244" s="13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3"/>
    </row>
    <row r="245" spans="1:45" ht="40.5" customHeight="1" x14ac:dyDescent="0.2">
      <c r="A245" s="19"/>
      <c r="B245" s="19"/>
      <c r="C245" s="15"/>
      <c r="D245" s="15"/>
      <c r="E245" s="13"/>
      <c r="F245" s="34" t="str" cm="1">
        <f t="array" ref="F245">IF($A245="","",GetMatchingValue($XFD$8,"Original","Control Number",F$2,$A245))</f>
        <v/>
      </c>
      <c r="G245" s="34" t="str" cm="1">
        <f t="array" ref="G245">IF($A245="","",GetMatchingValue($XFD$8,"Original","Control Number",G$2,$A245))</f>
        <v/>
      </c>
      <c r="H245" s="34" t="str" cm="1">
        <f t="array" ref="H245">IF($A245="","",GetMatchingValue($XFD$8,"Original","Control Number",H$2,$A245))</f>
        <v/>
      </c>
      <c r="I245" s="13"/>
      <c r="J245" s="13" t="str" cm="1">
        <f t="array" ref="J245">IF($A245="","",CheckControlNumberExists($XFD$9, "Original", $A245))</f>
        <v/>
      </c>
      <c r="K245" s="34" t="str" cm="1">
        <f t="array" ref="K245">IF($A245="","",IF($J245="No","",GetMatchingValue($XFD$9,"Original","Control Number",K$2,$A245)))</f>
        <v/>
      </c>
      <c r="L245" s="34" t="str" cm="1">
        <f t="array" ref="L245">IF($A245="","",IF($J245="No","",GetMatchingValue($XFD$9,"Original","Control Number",L$2,$A245)))</f>
        <v/>
      </c>
      <c r="M245" s="13" t="str">
        <f t="shared" ca="1" si="5"/>
        <v/>
      </c>
      <c r="N245" s="16"/>
      <c r="O245" s="34" t="str" cm="1">
        <f t="array" ref="O245">IF($A245="","",IF($J245="No","",GetMatchingValue($XFD$9,"Original","Control Number",O$2,$A245)))</f>
        <v/>
      </c>
      <c r="P245" s="34" t="str" cm="1">
        <f t="array" ref="P245">IF($A245="","",IF($J245="No","",GetMatchingValue($XFD$9,"Original","Control Number",P$2,$A245)))</f>
        <v/>
      </c>
      <c r="Q245" s="34" t="str" cm="1">
        <f t="array" ref="Q245">IF($A245="","",IF($J245="No","",GetMatchingValue($XFD$9,"Original","Control Number",Q$2,$A245)))</f>
        <v/>
      </c>
      <c r="R245" s="34" t="str" cm="1">
        <f t="array" ref="R245">IF($A245="","",IF($J245="No","",GetMatchingValue($XFD$9,"Original","Control Number",R$2,$A245)))</f>
        <v/>
      </c>
      <c r="S245" s="34" t="str" cm="1">
        <f t="array" ref="S245">IF($A245="","",IF($J245="No","",GetMatchingValue($XFD$9,"Original","Control Number",S$2,$A245)))</f>
        <v/>
      </c>
      <c r="T245" s="34" t="str" cm="1">
        <f t="array" ref="T245">IF($A245="","",IF($J245="No","",GetMatchingValue($XFD$9,"Original","Control Number",T$2,$A245)))</f>
        <v/>
      </c>
      <c r="U245" s="34" t="str" cm="1">
        <f t="array" ref="U245">IF($A245="","",IF($J245="No","",GetMatchingValue($XFD$9,"Original","Control Number",U$2,$A245)))</f>
        <v/>
      </c>
      <c r="V245" s="14"/>
      <c r="W245" s="17"/>
      <c r="X245" s="17"/>
      <c r="Y245" s="17"/>
      <c r="Z245" s="13"/>
      <c r="AA245" s="13"/>
      <c r="AB245" s="13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3"/>
    </row>
    <row r="246" spans="1:45" ht="40.5" customHeight="1" x14ac:dyDescent="0.2">
      <c r="A246" s="19"/>
      <c r="B246" s="19"/>
      <c r="C246" s="15"/>
      <c r="D246" s="15"/>
      <c r="E246" s="13"/>
      <c r="F246" s="34" t="str" cm="1">
        <f t="array" ref="F246">IF($A246="","",GetMatchingValue($XFD$8,"Original","Control Number",F$2,$A246))</f>
        <v/>
      </c>
      <c r="G246" s="34" t="str" cm="1">
        <f t="array" ref="G246">IF($A246="","",GetMatchingValue($XFD$8,"Original","Control Number",G$2,$A246))</f>
        <v/>
      </c>
      <c r="H246" s="34" t="str" cm="1">
        <f t="array" ref="H246">IF($A246="","",GetMatchingValue($XFD$8,"Original","Control Number",H$2,$A246))</f>
        <v/>
      </c>
      <c r="I246" s="13"/>
      <c r="J246" s="13" t="str" cm="1">
        <f t="array" ref="J246">IF($A246="","",CheckControlNumberExists($XFD$9, "Original", $A246))</f>
        <v/>
      </c>
      <c r="K246" s="34" t="str" cm="1">
        <f t="array" ref="K246">IF($A246="","",IF($J246="No","",GetMatchingValue($XFD$9,"Original","Control Number",K$2,$A246)))</f>
        <v/>
      </c>
      <c r="L246" s="34" t="str" cm="1">
        <f t="array" ref="L246">IF($A246="","",IF($J246="No","",GetMatchingValue($XFD$9,"Original","Control Number",L$2,$A246)))</f>
        <v/>
      </c>
      <c r="M246" s="13" t="str">
        <f t="shared" ca="1" si="5"/>
        <v/>
      </c>
      <c r="N246" s="16"/>
      <c r="O246" s="34" t="str" cm="1">
        <f t="array" ref="O246">IF($A246="","",IF($J246="No","",GetMatchingValue($XFD$9,"Original","Control Number",O$2,$A246)))</f>
        <v/>
      </c>
      <c r="P246" s="34" t="str" cm="1">
        <f t="array" ref="P246">IF($A246="","",IF($J246="No","",GetMatchingValue($XFD$9,"Original","Control Number",P$2,$A246)))</f>
        <v/>
      </c>
      <c r="Q246" s="34" t="str" cm="1">
        <f t="array" ref="Q246">IF($A246="","",IF($J246="No","",GetMatchingValue($XFD$9,"Original","Control Number",Q$2,$A246)))</f>
        <v/>
      </c>
      <c r="R246" s="34" t="str" cm="1">
        <f t="array" ref="R246">IF($A246="","",IF($J246="No","",GetMatchingValue($XFD$9,"Original","Control Number",R$2,$A246)))</f>
        <v/>
      </c>
      <c r="S246" s="34" t="str" cm="1">
        <f t="array" ref="S246">IF($A246="","",IF($J246="No","",GetMatchingValue($XFD$9,"Original","Control Number",S$2,$A246)))</f>
        <v/>
      </c>
      <c r="T246" s="34" t="str" cm="1">
        <f t="array" ref="T246">IF($A246="","",IF($J246="No","",GetMatchingValue($XFD$9,"Original","Control Number",T$2,$A246)))</f>
        <v/>
      </c>
      <c r="U246" s="34" t="str" cm="1">
        <f t="array" ref="U246">IF($A246="","",IF($J246="No","",GetMatchingValue($XFD$9,"Original","Control Number",U$2,$A246)))</f>
        <v/>
      </c>
      <c r="V246" s="14"/>
      <c r="W246" s="17"/>
      <c r="X246" s="17"/>
      <c r="Y246" s="17"/>
      <c r="Z246" s="13"/>
      <c r="AA246" s="13"/>
      <c r="AB246" s="13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3"/>
    </row>
    <row r="247" spans="1:45" ht="40.5" customHeight="1" x14ac:dyDescent="0.2">
      <c r="A247" s="19"/>
      <c r="B247" s="19"/>
      <c r="C247" s="15"/>
      <c r="D247" s="15"/>
      <c r="E247" s="13"/>
      <c r="F247" s="34" t="str" cm="1">
        <f t="array" ref="F247">IF($A247="","",GetMatchingValue($XFD$8,"Original","Control Number",F$2,$A247))</f>
        <v/>
      </c>
      <c r="G247" s="34" t="str" cm="1">
        <f t="array" ref="G247">IF($A247="","",GetMatchingValue($XFD$8,"Original","Control Number",G$2,$A247))</f>
        <v/>
      </c>
      <c r="H247" s="34" t="str" cm="1">
        <f t="array" ref="H247">IF($A247="","",GetMatchingValue($XFD$8,"Original","Control Number",H$2,$A247))</f>
        <v/>
      </c>
      <c r="I247" s="13"/>
      <c r="J247" s="13" t="str" cm="1">
        <f t="array" ref="J247">IF($A247="","",CheckControlNumberExists($XFD$9, "Original", $A247))</f>
        <v/>
      </c>
      <c r="K247" s="34" t="str" cm="1">
        <f t="array" ref="K247">IF($A247="","",IF($J247="No","",GetMatchingValue($XFD$9,"Original","Control Number",K$2,$A247)))</f>
        <v/>
      </c>
      <c r="L247" s="34" t="str" cm="1">
        <f t="array" ref="L247">IF($A247="","",IF($J247="No","",GetMatchingValue($XFD$9,"Original","Control Number",L$2,$A247)))</f>
        <v/>
      </c>
      <c r="M247" s="13" t="str">
        <f t="shared" ca="1" si="5"/>
        <v/>
      </c>
      <c r="N247" s="16"/>
      <c r="O247" s="34" t="str" cm="1">
        <f t="array" ref="O247">IF($A247="","",IF($J247="No","",GetMatchingValue($XFD$9,"Original","Control Number",O$2,$A247)))</f>
        <v/>
      </c>
      <c r="P247" s="34" t="str" cm="1">
        <f t="array" ref="P247">IF($A247="","",IF($J247="No","",GetMatchingValue($XFD$9,"Original","Control Number",P$2,$A247)))</f>
        <v/>
      </c>
      <c r="Q247" s="34" t="str" cm="1">
        <f t="array" ref="Q247">IF($A247="","",IF($J247="No","",GetMatchingValue($XFD$9,"Original","Control Number",Q$2,$A247)))</f>
        <v/>
      </c>
      <c r="R247" s="34" t="str" cm="1">
        <f t="array" ref="R247">IF($A247="","",IF($J247="No","",GetMatchingValue($XFD$9,"Original","Control Number",R$2,$A247)))</f>
        <v/>
      </c>
      <c r="S247" s="34" t="str" cm="1">
        <f t="array" ref="S247">IF($A247="","",IF($J247="No","",GetMatchingValue($XFD$9,"Original","Control Number",S$2,$A247)))</f>
        <v/>
      </c>
      <c r="T247" s="34" t="str" cm="1">
        <f t="array" ref="T247">IF($A247="","",IF($J247="No","",GetMatchingValue($XFD$9,"Original","Control Number",T$2,$A247)))</f>
        <v/>
      </c>
      <c r="U247" s="34" t="str" cm="1">
        <f t="array" ref="U247">IF($A247="","",IF($J247="No","",GetMatchingValue($XFD$9,"Original","Control Number",U$2,$A247)))</f>
        <v/>
      </c>
      <c r="V247" s="14"/>
      <c r="W247" s="17"/>
      <c r="X247" s="17"/>
      <c r="Y247" s="17"/>
      <c r="Z247" s="13"/>
      <c r="AA247" s="13"/>
      <c r="AB247" s="13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3"/>
    </row>
    <row r="248" spans="1:45" ht="40.5" customHeight="1" x14ac:dyDescent="0.2">
      <c r="A248" s="19"/>
      <c r="B248" s="19"/>
      <c r="C248" s="15"/>
      <c r="D248" s="15"/>
      <c r="E248" s="13"/>
      <c r="F248" s="34" t="str" cm="1">
        <f t="array" ref="F248">IF($A248="","",GetMatchingValue($XFD$8,"Original","Control Number",F$2,$A248))</f>
        <v/>
      </c>
      <c r="G248" s="34" t="str" cm="1">
        <f t="array" ref="G248">IF($A248="","",GetMatchingValue($XFD$8,"Original","Control Number",G$2,$A248))</f>
        <v/>
      </c>
      <c r="H248" s="34" t="str" cm="1">
        <f t="array" ref="H248">IF($A248="","",GetMatchingValue($XFD$8,"Original","Control Number",H$2,$A248))</f>
        <v/>
      </c>
      <c r="I248" s="13"/>
      <c r="J248" s="13" t="str" cm="1">
        <f t="array" ref="J248">IF($A248="","",CheckControlNumberExists($XFD$9, "Original", $A248))</f>
        <v/>
      </c>
      <c r="K248" s="34" t="str" cm="1">
        <f t="array" ref="K248">IF($A248="","",IF($J248="No","",GetMatchingValue($XFD$9,"Original","Control Number",K$2,$A248)))</f>
        <v/>
      </c>
      <c r="L248" s="34" t="str" cm="1">
        <f t="array" ref="L248">IF($A248="","",IF($J248="No","",GetMatchingValue($XFD$9,"Original","Control Number",L$2,$A248)))</f>
        <v/>
      </c>
      <c r="M248" s="13" t="str">
        <f t="shared" ca="1" si="5"/>
        <v/>
      </c>
      <c r="N248" s="16"/>
      <c r="O248" s="34" t="str" cm="1">
        <f t="array" ref="O248">IF($A248="","",IF($J248="No","",GetMatchingValue($XFD$9,"Original","Control Number",O$2,$A248)))</f>
        <v/>
      </c>
      <c r="P248" s="34" t="str" cm="1">
        <f t="array" ref="P248">IF($A248="","",IF($J248="No","",GetMatchingValue($XFD$9,"Original","Control Number",P$2,$A248)))</f>
        <v/>
      </c>
      <c r="Q248" s="34" t="str" cm="1">
        <f t="array" ref="Q248">IF($A248="","",IF($J248="No","",GetMatchingValue($XFD$9,"Original","Control Number",Q$2,$A248)))</f>
        <v/>
      </c>
      <c r="R248" s="34" t="str" cm="1">
        <f t="array" ref="R248">IF($A248="","",IF($J248="No","",GetMatchingValue($XFD$9,"Original","Control Number",R$2,$A248)))</f>
        <v/>
      </c>
      <c r="S248" s="34" t="str" cm="1">
        <f t="array" ref="S248">IF($A248="","",IF($J248="No","",GetMatchingValue($XFD$9,"Original","Control Number",S$2,$A248)))</f>
        <v/>
      </c>
      <c r="T248" s="34" t="str" cm="1">
        <f t="array" ref="T248">IF($A248="","",IF($J248="No","",GetMatchingValue($XFD$9,"Original","Control Number",T$2,$A248)))</f>
        <v/>
      </c>
      <c r="U248" s="34" t="str" cm="1">
        <f t="array" ref="U248">IF($A248="","",IF($J248="No","",GetMatchingValue($XFD$9,"Original","Control Number",U$2,$A248)))</f>
        <v/>
      </c>
      <c r="V248" s="14"/>
      <c r="W248" s="17"/>
      <c r="X248" s="17"/>
      <c r="Y248" s="17"/>
      <c r="Z248" s="13"/>
      <c r="AA248" s="13"/>
      <c r="AB248" s="13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3"/>
    </row>
    <row r="249" spans="1:45" ht="40.5" customHeight="1" x14ac:dyDescent="0.2">
      <c r="A249" s="19"/>
      <c r="B249" s="19"/>
      <c r="C249" s="15"/>
      <c r="D249" s="15"/>
      <c r="E249" s="13"/>
      <c r="F249" s="34" t="str" cm="1">
        <f t="array" ref="F249">IF($A249="","",GetMatchingValue($XFD$8,"Original","Control Number",F$2,$A249))</f>
        <v/>
      </c>
      <c r="G249" s="34" t="str" cm="1">
        <f t="array" ref="G249">IF($A249="","",GetMatchingValue($XFD$8,"Original","Control Number",G$2,$A249))</f>
        <v/>
      </c>
      <c r="H249" s="34" t="str" cm="1">
        <f t="array" ref="H249">IF($A249="","",GetMatchingValue($XFD$8,"Original","Control Number",H$2,$A249))</f>
        <v/>
      </c>
      <c r="I249" s="13"/>
      <c r="J249" s="13" t="str" cm="1">
        <f t="array" ref="J249">IF($A249="","",CheckControlNumberExists($XFD$9, "Original", $A249))</f>
        <v/>
      </c>
      <c r="K249" s="34" t="str" cm="1">
        <f t="array" ref="K249">IF($A249="","",IF($J249="No","",GetMatchingValue($XFD$9,"Original","Control Number",K$2,$A249)))</f>
        <v/>
      </c>
      <c r="L249" s="34" t="str" cm="1">
        <f t="array" ref="L249">IF($A249="","",IF($J249="No","",GetMatchingValue($XFD$9,"Original","Control Number",L$2,$A249)))</f>
        <v/>
      </c>
      <c r="M249" s="13" t="str">
        <f t="shared" ca="1" si="5"/>
        <v/>
      </c>
      <c r="N249" s="16"/>
      <c r="O249" s="34" t="str" cm="1">
        <f t="array" ref="O249">IF($A249="","",IF($J249="No","",GetMatchingValue($XFD$9,"Original","Control Number",O$2,$A249)))</f>
        <v/>
      </c>
      <c r="P249" s="34" t="str" cm="1">
        <f t="array" ref="P249">IF($A249="","",IF($J249="No","",GetMatchingValue($XFD$9,"Original","Control Number",P$2,$A249)))</f>
        <v/>
      </c>
      <c r="Q249" s="34" t="str" cm="1">
        <f t="array" ref="Q249">IF($A249="","",IF($J249="No","",GetMatchingValue($XFD$9,"Original","Control Number",Q$2,$A249)))</f>
        <v/>
      </c>
      <c r="R249" s="34" t="str" cm="1">
        <f t="array" ref="R249">IF($A249="","",IF($J249="No","",GetMatchingValue($XFD$9,"Original","Control Number",R$2,$A249)))</f>
        <v/>
      </c>
      <c r="S249" s="34" t="str" cm="1">
        <f t="array" ref="S249">IF($A249="","",IF($J249="No","",GetMatchingValue($XFD$9,"Original","Control Number",S$2,$A249)))</f>
        <v/>
      </c>
      <c r="T249" s="34" t="str" cm="1">
        <f t="array" ref="T249">IF($A249="","",IF($J249="No","",GetMatchingValue($XFD$9,"Original","Control Number",T$2,$A249)))</f>
        <v/>
      </c>
      <c r="U249" s="34" t="str" cm="1">
        <f t="array" ref="U249">IF($A249="","",IF($J249="No","",GetMatchingValue($XFD$9,"Original","Control Number",U$2,$A249)))</f>
        <v/>
      </c>
      <c r="V249" s="14"/>
      <c r="W249" s="17"/>
      <c r="X249" s="17"/>
      <c r="Y249" s="17"/>
      <c r="Z249" s="13"/>
      <c r="AA249" s="13"/>
      <c r="AB249" s="13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3"/>
    </row>
    <row r="250" spans="1:45" ht="40.5" customHeight="1" x14ac:dyDescent="0.2">
      <c r="A250" s="19"/>
      <c r="B250" s="19"/>
      <c r="C250" s="15"/>
      <c r="D250" s="15"/>
      <c r="E250" s="13"/>
      <c r="F250" s="34" t="str" cm="1">
        <f t="array" ref="F250">IF($A250="","",GetMatchingValue($XFD$8,"Original","Control Number",F$2,$A250))</f>
        <v/>
      </c>
      <c r="G250" s="34" t="str" cm="1">
        <f t="array" ref="G250">IF($A250="","",GetMatchingValue($XFD$8,"Original","Control Number",G$2,$A250))</f>
        <v/>
      </c>
      <c r="H250" s="34" t="str" cm="1">
        <f t="array" ref="H250">IF($A250="","",GetMatchingValue($XFD$8,"Original","Control Number",H$2,$A250))</f>
        <v/>
      </c>
      <c r="I250" s="13"/>
      <c r="J250" s="13" t="str" cm="1">
        <f t="array" ref="J250">IF($A250="","",CheckControlNumberExists($XFD$9, "Original", $A250))</f>
        <v/>
      </c>
      <c r="K250" s="34" t="str" cm="1">
        <f t="array" ref="K250">IF($A250="","",IF($J250="No","",GetMatchingValue($XFD$9,"Original","Control Number",K$2,$A250)))</f>
        <v/>
      </c>
      <c r="L250" s="34" t="str" cm="1">
        <f t="array" ref="L250">IF($A250="","",IF($J250="No","",GetMatchingValue($XFD$9,"Original","Control Number",L$2,$A250)))</f>
        <v/>
      </c>
      <c r="M250" s="13" t="str">
        <f t="shared" ca="1" si="5"/>
        <v/>
      </c>
      <c r="N250" s="16"/>
      <c r="O250" s="34" t="str" cm="1">
        <f t="array" ref="O250">IF($A250="","",IF($J250="No","",GetMatchingValue($XFD$9,"Original","Control Number",O$2,$A250)))</f>
        <v/>
      </c>
      <c r="P250" s="34" t="str" cm="1">
        <f t="array" ref="P250">IF($A250="","",IF($J250="No","",GetMatchingValue($XFD$9,"Original","Control Number",P$2,$A250)))</f>
        <v/>
      </c>
      <c r="Q250" s="34" t="str" cm="1">
        <f t="array" ref="Q250">IF($A250="","",IF($J250="No","",GetMatchingValue($XFD$9,"Original","Control Number",Q$2,$A250)))</f>
        <v/>
      </c>
      <c r="R250" s="34" t="str" cm="1">
        <f t="array" ref="R250">IF($A250="","",IF($J250="No","",GetMatchingValue($XFD$9,"Original","Control Number",R$2,$A250)))</f>
        <v/>
      </c>
      <c r="S250" s="34" t="str" cm="1">
        <f t="array" ref="S250">IF($A250="","",IF($J250="No","",GetMatchingValue($XFD$9,"Original","Control Number",S$2,$A250)))</f>
        <v/>
      </c>
      <c r="T250" s="34" t="str" cm="1">
        <f t="array" ref="T250">IF($A250="","",IF($J250="No","",GetMatchingValue($XFD$9,"Original","Control Number",T$2,$A250)))</f>
        <v/>
      </c>
      <c r="U250" s="34" t="str" cm="1">
        <f t="array" ref="U250">IF($A250="","",IF($J250="No","",GetMatchingValue($XFD$9,"Original","Control Number",U$2,$A250)))</f>
        <v/>
      </c>
      <c r="V250" s="14"/>
      <c r="W250" s="17"/>
      <c r="X250" s="17"/>
      <c r="Y250" s="17"/>
      <c r="Z250" s="13"/>
      <c r="AA250" s="13"/>
      <c r="AB250" s="13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3"/>
    </row>
    <row r="251" spans="1:45" ht="40.5" customHeight="1" x14ac:dyDescent="0.2">
      <c r="A251" s="19"/>
      <c r="B251" s="19"/>
      <c r="C251" s="15"/>
      <c r="D251" s="15"/>
      <c r="E251" s="13"/>
      <c r="F251" s="34" t="str" cm="1">
        <f t="array" ref="F251">IF($A251="","",GetMatchingValue($XFD$8,"Original","Control Number",F$2,$A251))</f>
        <v/>
      </c>
      <c r="G251" s="34" t="str" cm="1">
        <f t="array" ref="G251">IF($A251="","",GetMatchingValue($XFD$8,"Original","Control Number",G$2,$A251))</f>
        <v/>
      </c>
      <c r="H251" s="34" t="str" cm="1">
        <f t="array" ref="H251">IF($A251="","",GetMatchingValue($XFD$8,"Original","Control Number",H$2,$A251))</f>
        <v/>
      </c>
      <c r="I251" s="13"/>
      <c r="J251" s="13" t="str" cm="1">
        <f t="array" ref="J251">IF($A251="","",CheckControlNumberExists($XFD$9, "Original", $A251))</f>
        <v/>
      </c>
      <c r="K251" s="34" t="str" cm="1">
        <f t="array" ref="K251">IF($A251="","",IF($J251="No","",GetMatchingValue($XFD$9,"Original","Control Number",K$2,$A251)))</f>
        <v/>
      </c>
      <c r="L251" s="34" t="str" cm="1">
        <f t="array" ref="L251">IF($A251="","",IF($J251="No","",GetMatchingValue($XFD$9,"Original","Control Number",L$2,$A251)))</f>
        <v/>
      </c>
      <c r="M251" s="13" t="str">
        <f t="shared" ca="1" si="5"/>
        <v/>
      </c>
      <c r="N251" s="16"/>
      <c r="O251" s="34" t="str" cm="1">
        <f t="array" ref="O251">IF($A251="","",IF($J251="No","",GetMatchingValue($XFD$9,"Original","Control Number",O$2,$A251)))</f>
        <v/>
      </c>
      <c r="P251" s="34" t="str" cm="1">
        <f t="array" ref="P251">IF($A251="","",IF($J251="No","",GetMatchingValue($XFD$9,"Original","Control Number",P$2,$A251)))</f>
        <v/>
      </c>
      <c r="Q251" s="34" t="str" cm="1">
        <f t="array" ref="Q251">IF($A251="","",IF($J251="No","",GetMatchingValue($XFD$9,"Original","Control Number",Q$2,$A251)))</f>
        <v/>
      </c>
      <c r="R251" s="34" t="str" cm="1">
        <f t="array" ref="R251">IF($A251="","",IF($J251="No","",GetMatchingValue($XFD$9,"Original","Control Number",R$2,$A251)))</f>
        <v/>
      </c>
      <c r="S251" s="34" t="str" cm="1">
        <f t="array" ref="S251">IF($A251="","",IF($J251="No","",GetMatchingValue($XFD$9,"Original","Control Number",S$2,$A251)))</f>
        <v/>
      </c>
      <c r="T251" s="34" t="str" cm="1">
        <f t="array" ref="T251">IF($A251="","",IF($J251="No","",GetMatchingValue($XFD$9,"Original","Control Number",T$2,$A251)))</f>
        <v/>
      </c>
      <c r="U251" s="34" t="str" cm="1">
        <f t="array" ref="U251">IF($A251="","",IF($J251="No","",GetMatchingValue($XFD$9,"Original","Control Number",U$2,$A251)))</f>
        <v/>
      </c>
      <c r="V251" s="14"/>
      <c r="W251" s="17"/>
      <c r="X251" s="17"/>
      <c r="Y251" s="17"/>
      <c r="Z251" s="13"/>
      <c r="AA251" s="13"/>
      <c r="AB251" s="13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3"/>
    </row>
    <row r="252" spans="1:45" ht="40.5" customHeight="1" x14ac:dyDescent="0.2">
      <c r="A252" s="19"/>
      <c r="B252" s="19"/>
      <c r="C252" s="15"/>
      <c r="D252" s="15"/>
      <c r="E252" s="13"/>
      <c r="F252" s="34" t="str" cm="1">
        <f t="array" ref="F252">IF($A252="","",GetMatchingValue($XFD$8,"Original","Control Number",F$2,$A252))</f>
        <v/>
      </c>
      <c r="G252" s="34" t="str" cm="1">
        <f t="array" ref="G252">IF($A252="","",GetMatchingValue($XFD$8,"Original","Control Number",G$2,$A252))</f>
        <v/>
      </c>
      <c r="H252" s="34" t="str" cm="1">
        <f t="array" ref="H252">IF($A252="","",GetMatchingValue($XFD$8,"Original","Control Number",H$2,$A252))</f>
        <v/>
      </c>
      <c r="I252" s="13"/>
      <c r="J252" s="13" t="str" cm="1">
        <f t="array" ref="J252">IF($A252="","",CheckControlNumberExists($XFD$9, "Original", $A252))</f>
        <v/>
      </c>
      <c r="K252" s="34" t="str" cm="1">
        <f t="array" ref="K252">IF($A252="","",IF($J252="No","",GetMatchingValue($XFD$9,"Original","Control Number",K$2,$A252)))</f>
        <v/>
      </c>
      <c r="L252" s="34" t="str" cm="1">
        <f t="array" ref="L252">IF($A252="","",IF($J252="No","",GetMatchingValue($XFD$9,"Original","Control Number",L$2,$A252)))</f>
        <v/>
      </c>
      <c r="M252" s="13" t="str">
        <f t="shared" ca="1" si="5"/>
        <v/>
      </c>
      <c r="N252" s="16"/>
      <c r="O252" s="34" t="str" cm="1">
        <f t="array" ref="O252">IF($A252="","",IF($J252="No","",GetMatchingValue($XFD$9,"Original","Control Number",O$2,$A252)))</f>
        <v/>
      </c>
      <c r="P252" s="34" t="str" cm="1">
        <f t="array" ref="P252">IF($A252="","",IF($J252="No","",GetMatchingValue($XFD$9,"Original","Control Number",P$2,$A252)))</f>
        <v/>
      </c>
      <c r="Q252" s="34" t="str" cm="1">
        <f t="array" ref="Q252">IF($A252="","",IF($J252="No","",GetMatchingValue($XFD$9,"Original","Control Number",Q$2,$A252)))</f>
        <v/>
      </c>
      <c r="R252" s="34" t="str" cm="1">
        <f t="array" ref="R252">IF($A252="","",IF($J252="No","",GetMatchingValue($XFD$9,"Original","Control Number",R$2,$A252)))</f>
        <v/>
      </c>
      <c r="S252" s="34" t="str" cm="1">
        <f t="array" ref="S252">IF($A252="","",IF($J252="No","",GetMatchingValue($XFD$9,"Original","Control Number",S$2,$A252)))</f>
        <v/>
      </c>
      <c r="T252" s="34" t="str" cm="1">
        <f t="array" ref="T252">IF($A252="","",IF($J252="No","",GetMatchingValue($XFD$9,"Original","Control Number",T$2,$A252)))</f>
        <v/>
      </c>
      <c r="U252" s="34" t="str" cm="1">
        <f t="array" ref="U252">IF($A252="","",IF($J252="No","",GetMatchingValue($XFD$9,"Original","Control Number",U$2,$A252)))</f>
        <v/>
      </c>
      <c r="V252" s="14"/>
      <c r="W252" s="17"/>
      <c r="X252" s="17"/>
      <c r="Y252" s="17"/>
      <c r="Z252" s="13"/>
      <c r="AA252" s="13"/>
      <c r="AB252" s="13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3"/>
    </row>
    <row r="253" spans="1:45" ht="40.5" customHeight="1" x14ac:dyDescent="0.2">
      <c r="A253" s="19"/>
      <c r="B253" s="19"/>
      <c r="C253" s="15"/>
      <c r="D253" s="15"/>
      <c r="E253" s="13"/>
      <c r="F253" s="34" t="str" cm="1">
        <f t="array" ref="F253">IF($A253="","",GetMatchingValue($XFD$8,"Original","Control Number",F$2,$A253))</f>
        <v/>
      </c>
      <c r="G253" s="34" t="str" cm="1">
        <f t="array" ref="G253">IF($A253="","",GetMatchingValue($XFD$8,"Original","Control Number",G$2,$A253))</f>
        <v/>
      </c>
      <c r="H253" s="34" t="str" cm="1">
        <f t="array" ref="H253">IF($A253="","",GetMatchingValue($XFD$8,"Original","Control Number",H$2,$A253))</f>
        <v/>
      </c>
      <c r="I253" s="13"/>
      <c r="J253" s="13" t="str" cm="1">
        <f t="array" ref="J253">IF($A253="","",CheckControlNumberExists($XFD$9, "Original", $A253))</f>
        <v/>
      </c>
      <c r="K253" s="34" t="str" cm="1">
        <f t="array" ref="K253">IF($A253="","",IF($J253="No","",GetMatchingValue($XFD$9,"Original","Control Number",K$2,$A253)))</f>
        <v/>
      </c>
      <c r="L253" s="34" t="str" cm="1">
        <f t="array" ref="L253">IF($A253="","",IF($J253="No","",GetMatchingValue($XFD$9,"Original","Control Number",L$2,$A253)))</f>
        <v/>
      </c>
      <c r="M253" s="13" t="str">
        <f t="shared" ca="1" si="5"/>
        <v/>
      </c>
      <c r="N253" s="16"/>
      <c r="O253" s="34" t="str" cm="1">
        <f t="array" ref="O253">IF($A253="","",IF($J253="No","",GetMatchingValue($XFD$9,"Original","Control Number",O$2,$A253)))</f>
        <v/>
      </c>
      <c r="P253" s="34" t="str" cm="1">
        <f t="array" ref="P253">IF($A253="","",IF($J253="No","",GetMatchingValue($XFD$9,"Original","Control Number",P$2,$A253)))</f>
        <v/>
      </c>
      <c r="Q253" s="34" t="str" cm="1">
        <f t="array" ref="Q253">IF($A253="","",IF($J253="No","",GetMatchingValue($XFD$9,"Original","Control Number",Q$2,$A253)))</f>
        <v/>
      </c>
      <c r="R253" s="34" t="str" cm="1">
        <f t="array" ref="R253">IF($A253="","",IF($J253="No","",GetMatchingValue($XFD$9,"Original","Control Number",R$2,$A253)))</f>
        <v/>
      </c>
      <c r="S253" s="34" t="str" cm="1">
        <f t="array" ref="S253">IF($A253="","",IF($J253="No","",GetMatchingValue($XFD$9,"Original","Control Number",S$2,$A253)))</f>
        <v/>
      </c>
      <c r="T253" s="34" t="str" cm="1">
        <f t="array" ref="T253">IF($A253="","",IF($J253="No","",GetMatchingValue($XFD$9,"Original","Control Number",T$2,$A253)))</f>
        <v/>
      </c>
      <c r="U253" s="34" t="str" cm="1">
        <f t="array" ref="U253">IF($A253="","",IF($J253="No","",GetMatchingValue($XFD$9,"Original","Control Number",U$2,$A253)))</f>
        <v/>
      </c>
      <c r="V253" s="14"/>
      <c r="W253" s="17"/>
      <c r="X253" s="17"/>
      <c r="Y253" s="17"/>
      <c r="Z253" s="13"/>
      <c r="AA253" s="13"/>
      <c r="AB253" s="13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3"/>
    </row>
    <row r="254" spans="1:45" ht="40.5" customHeight="1" x14ac:dyDescent="0.2">
      <c r="A254" s="19"/>
      <c r="B254" s="19"/>
      <c r="C254" s="15"/>
      <c r="D254" s="15"/>
      <c r="E254" s="13"/>
      <c r="F254" s="34" t="str" cm="1">
        <f t="array" ref="F254">IF($A254="","",GetMatchingValue($XFD$8,"Original","Control Number",F$2,$A254))</f>
        <v/>
      </c>
      <c r="G254" s="34" t="str" cm="1">
        <f t="array" ref="G254">IF($A254="","",GetMatchingValue($XFD$8,"Original","Control Number",G$2,$A254))</f>
        <v/>
      </c>
      <c r="H254" s="34" t="str" cm="1">
        <f t="array" ref="H254">IF($A254="","",GetMatchingValue($XFD$8,"Original","Control Number",H$2,$A254))</f>
        <v/>
      </c>
      <c r="I254" s="13"/>
      <c r="J254" s="13" t="str" cm="1">
        <f t="array" ref="J254">IF($A254="","",CheckControlNumberExists($XFD$9, "Original", $A254))</f>
        <v/>
      </c>
      <c r="K254" s="34" t="str" cm="1">
        <f t="array" ref="K254">IF($A254="","",IF($J254="No","",GetMatchingValue($XFD$9,"Original","Control Number",K$2,$A254)))</f>
        <v/>
      </c>
      <c r="L254" s="34" t="str" cm="1">
        <f t="array" ref="L254">IF($A254="","",IF($J254="No","",GetMatchingValue($XFD$9,"Original","Control Number",L$2,$A254)))</f>
        <v/>
      </c>
      <c r="M254" s="13" t="str">
        <f t="shared" ca="1" si="5"/>
        <v/>
      </c>
      <c r="N254" s="16"/>
      <c r="O254" s="34" t="str" cm="1">
        <f t="array" ref="O254">IF($A254="","",IF($J254="No","",GetMatchingValue($XFD$9,"Original","Control Number",O$2,$A254)))</f>
        <v/>
      </c>
      <c r="P254" s="34" t="str" cm="1">
        <f t="array" ref="P254">IF($A254="","",IF($J254="No","",GetMatchingValue($XFD$9,"Original","Control Number",P$2,$A254)))</f>
        <v/>
      </c>
      <c r="Q254" s="34" t="str" cm="1">
        <f t="array" ref="Q254">IF($A254="","",IF($J254="No","",GetMatchingValue($XFD$9,"Original","Control Number",Q$2,$A254)))</f>
        <v/>
      </c>
      <c r="R254" s="34" t="str" cm="1">
        <f t="array" ref="R254">IF($A254="","",IF($J254="No","",GetMatchingValue($XFD$9,"Original","Control Number",R$2,$A254)))</f>
        <v/>
      </c>
      <c r="S254" s="34" t="str" cm="1">
        <f t="array" ref="S254">IF($A254="","",IF($J254="No","",GetMatchingValue($XFD$9,"Original","Control Number",S$2,$A254)))</f>
        <v/>
      </c>
      <c r="T254" s="34" t="str" cm="1">
        <f t="array" ref="T254">IF($A254="","",IF($J254="No","",GetMatchingValue($XFD$9,"Original","Control Number",T$2,$A254)))</f>
        <v/>
      </c>
      <c r="U254" s="34" t="str" cm="1">
        <f t="array" ref="U254">IF($A254="","",IF($J254="No","",GetMatchingValue($XFD$9,"Original","Control Number",U$2,$A254)))</f>
        <v/>
      </c>
      <c r="V254" s="14"/>
      <c r="W254" s="17"/>
      <c r="X254" s="17"/>
      <c r="Y254" s="17"/>
      <c r="Z254" s="13"/>
      <c r="AA254" s="13"/>
      <c r="AB254" s="13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3"/>
    </row>
    <row r="255" spans="1:45" ht="40.5" customHeight="1" x14ac:dyDescent="0.2">
      <c r="A255" s="19"/>
      <c r="B255" s="19"/>
      <c r="C255" s="15"/>
      <c r="D255" s="15"/>
      <c r="E255" s="13"/>
      <c r="F255" s="34" t="str" cm="1">
        <f t="array" ref="F255">IF($A255="","",GetMatchingValue($XFD$8,"Original","Control Number",F$2,$A255))</f>
        <v/>
      </c>
      <c r="G255" s="34" t="str" cm="1">
        <f t="array" ref="G255">IF($A255="","",GetMatchingValue($XFD$8,"Original","Control Number",G$2,$A255))</f>
        <v/>
      </c>
      <c r="H255" s="34" t="str" cm="1">
        <f t="array" ref="H255">IF($A255="","",GetMatchingValue($XFD$8,"Original","Control Number",H$2,$A255))</f>
        <v/>
      </c>
      <c r="I255" s="13"/>
      <c r="J255" s="13" t="str" cm="1">
        <f t="array" ref="J255">IF($A255="","",CheckControlNumberExists($XFD$9, "Original", $A255))</f>
        <v/>
      </c>
      <c r="K255" s="34" t="str" cm="1">
        <f t="array" ref="K255">IF($A255="","",IF($J255="No","",GetMatchingValue($XFD$9,"Original","Control Number",K$2,$A255)))</f>
        <v/>
      </c>
      <c r="L255" s="34" t="str" cm="1">
        <f t="array" ref="L255">IF($A255="","",IF($J255="No","",GetMatchingValue($XFD$9,"Original","Control Number",L$2,$A255)))</f>
        <v/>
      </c>
      <c r="M255" s="13" t="str">
        <f t="shared" ca="1" si="5"/>
        <v/>
      </c>
      <c r="N255" s="16"/>
      <c r="O255" s="34" t="str" cm="1">
        <f t="array" ref="O255">IF($A255="","",IF($J255="No","",GetMatchingValue($XFD$9,"Original","Control Number",O$2,$A255)))</f>
        <v/>
      </c>
      <c r="P255" s="34" t="str" cm="1">
        <f t="array" ref="P255">IF($A255="","",IF($J255="No","",GetMatchingValue($XFD$9,"Original","Control Number",P$2,$A255)))</f>
        <v/>
      </c>
      <c r="Q255" s="34" t="str" cm="1">
        <f t="array" ref="Q255">IF($A255="","",IF($J255="No","",GetMatchingValue($XFD$9,"Original","Control Number",Q$2,$A255)))</f>
        <v/>
      </c>
      <c r="R255" s="34" t="str" cm="1">
        <f t="array" ref="R255">IF($A255="","",IF($J255="No","",GetMatchingValue($XFD$9,"Original","Control Number",R$2,$A255)))</f>
        <v/>
      </c>
      <c r="S255" s="34" t="str" cm="1">
        <f t="array" ref="S255">IF($A255="","",IF($J255="No","",GetMatchingValue($XFD$9,"Original","Control Number",S$2,$A255)))</f>
        <v/>
      </c>
      <c r="T255" s="34" t="str" cm="1">
        <f t="array" ref="T255">IF($A255="","",IF($J255="No","",GetMatchingValue($XFD$9,"Original","Control Number",T$2,$A255)))</f>
        <v/>
      </c>
      <c r="U255" s="34" t="str" cm="1">
        <f t="array" ref="U255">IF($A255="","",IF($J255="No","",GetMatchingValue($XFD$9,"Original","Control Number",U$2,$A255)))</f>
        <v/>
      </c>
      <c r="V255" s="14"/>
      <c r="W255" s="17"/>
      <c r="X255" s="17"/>
      <c r="Y255" s="17"/>
      <c r="Z255" s="13"/>
      <c r="AA255" s="13"/>
      <c r="AB255" s="13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3"/>
    </row>
    <row r="256" spans="1:45" ht="40.5" customHeight="1" x14ac:dyDescent="0.2">
      <c r="A256" s="19"/>
      <c r="B256" s="19"/>
      <c r="C256" s="15"/>
      <c r="D256" s="15"/>
      <c r="E256" s="13"/>
      <c r="F256" s="34" t="str" cm="1">
        <f t="array" ref="F256">IF($A256="","",GetMatchingValue($XFD$8,"Original","Control Number",F$2,$A256))</f>
        <v/>
      </c>
      <c r="G256" s="34" t="str" cm="1">
        <f t="array" ref="G256">IF($A256="","",GetMatchingValue($XFD$8,"Original","Control Number",G$2,$A256))</f>
        <v/>
      </c>
      <c r="H256" s="34" t="str" cm="1">
        <f t="array" ref="H256">IF($A256="","",GetMatchingValue($XFD$8,"Original","Control Number",H$2,$A256))</f>
        <v/>
      </c>
      <c r="I256" s="13"/>
      <c r="J256" s="13" t="str" cm="1">
        <f t="array" ref="J256">IF($A256="","",CheckControlNumberExists($XFD$9, "Original", $A256))</f>
        <v/>
      </c>
      <c r="K256" s="34" t="str" cm="1">
        <f t="array" ref="K256">IF($A256="","",IF($J256="No","",GetMatchingValue($XFD$9,"Original","Control Number",K$2,$A256)))</f>
        <v/>
      </c>
      <c r="L256" s="34" t="str" cm="1">
        <f t="array" ref="L256">IF($A256="","",IF($J256="No","",GetMatchingValue($XFD$9,"Original","Control Number",L$2,$A256)))</f>
        <v/>
      </c>
      <c r="M256" s="13" t="str">
        <f t="shared" ca="1" si="5"/>
        <v/>
      </c>
      <c r="N256" s="16"/>
      <c r="O256" s="34" t="str" cm="1">
        <f t="array" ref="O256">IF($A256="","",IF($J256="No","",GetMatchingValue($XFD$9,"Original","Control Number",O$2,$A256)))</f>
        <v/>
      </c>
      <c r="P256" s="34" t="str" cm="1">
        <f t="array" ref="P256">IF($A256="","",IF($J256="No","",GetMatchingValue($XFD$9,"Original","Control Number",P$2,$A256)))</f>
        <v/>
      </c>
      <c r="Q256" s="34" t="str" cm="1">
        <f t="array" ref="Q256">IF($A256="","",IF($J256="No","",GetMatchingValue($XFD$9,"Original","Control Number",Q$2,$A256)))</f>
        <v/>
      </c>
      <c r="R256" s="34" t="str" cm="1">
        <f t="array" ref="R256">IF($A256="","",IF($J256="No","",GetMatchingValue($XFD$9,"Original","Control Number",R$2,$A256)))</f>
        <v/>
      </c>
      <c r="S256" s="34" t="str" cm="1">
        <f t="array" ref="S256">IF($A256="","",IF($J256="No","",GetMatchingValue($XFD$9,"Original","Control Number",S$2,$A256)))</f>
        <v/>
      </c>
      <c r="T256" s="34" t="str" cm="1">
        <f t="array" ref="T256">IF($A256="","",IF($J256="No","",GetMatchingValue($XFD$9,"Original","Control Number",T$2,$A256)))</f>
        <v/>
      </c>
      <c r="U256" s="34" t="str" cm="1">
        <f t="array" ref="U256">IF($A256="","",IF($J256="No","",GetMatchingValue($XFD$9,"Original","Control Number",U$2,$A256)))</f>
        <v/>
      </c>
      <c r="V256" s="14"/>
      <c r="W256" s="17"/>
      <c r="X256" s="17"/>
      <c r="Y256" s="17"/>
      <c r="Z256" s="13"/>
      <c r="AA256" s="13"/>
      <c r="AB256" s="13"/>
      <c r="AC256" s="20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3"/>
    </row>
    <row r="257" spans="1:45" ht="40.5" customHeight="1" x14ac:dyDescent="0.2">
      <c r="A257" s="19"/>
      <c r="B257" s="19"/>
      <c r="C257" s="15"/>
      <c r="D257" s="15"/>
      <c r="E257" s="13"/>
      <c r="F257" s="34" t="str" cm="1">
        <f t="array" ref="F257">IF($A257="","",GetMatchingValue($XFD$8,"Original","Control Number",F$2,$A257))</f>
        <v/>
      </c>
      <c r="G257" s="34" t="str" cm="1">
        <f t="array" ref="G257">IF($A257="","",GetMatchingValue($XFD$8,"Original","Control Number",G$2,$A257))</f>
        <v/>
      </c>
      <c r="H257" s="34" t="str" cm="1">
        <f t="array" ref="H257">IF($A257="","",GetMatchingValue($XFD$8,"Original","Control Number",H$2,$A257))</f>
        <v/>
      </c>
      <c r="I257" s="13"/>
      <c r="J257" s="13" t="str" cm="1">
        <f t="array" ref="J257">IF($A257="","",CheckControlNumberExists($XFD$9, "Original", $A257))</f>
        <v/>
      </c>
      <c r="K257" s="34" t="str" cm="1">
        <f t="array" ref="K257">IF($A257="","",IF($J257="No","",GetMatchingValue($XFD$9,"Original","Control Number",K$2,$A257)))</f>
        <v/>
      </c>
      <c r="L257" s="34" t="str" cm="1">
        <f t="array" ref="L257">IF($A257="","",IF($J257="No","",GetMatchingValue($XFD$9,"Original","Control Number",L$2,$A257)))</f>
        <v/>
      </c>
      <c r="M257" s="13" t="str">
        <f t="shared" ca="1" si="5"/>
        <v/>
      </c>
      <c r="N257" s="16"/>
      <c r="O257" s="34" t="str" cm="1">
        <f t="array" ref="O257">IF($A257="","",IF($J257="No","",GetMatchingValue($XFD$9,"Original","Control Number",O$2,$A257)))</f>
        <v/>
      </c>
      <c r="P257" s="34" t="str" cm="1">
        <f t="array" ref="P257">IF($A257="","",IF($J257="No","",GetMatchingValue($XFD$9,"Original","Control Number",P$2,$A257)))</f>
        <v/>
      </c>
      <c r="Q257" s="34" t="str" cm="1">
        <f t="array" ref="Q257">IF($A257="","",IF($J257="No","",GetMatchingValue($XFD$9,"Original","Control Number",Q$2,$A257)))</f>
        <v/>
      </c>
      <c r="R257" s="34" t="str" cm="1">
        <f t="array" ref="R257">IF($A257="","",IF($J257="No","",GetMatchingValue($XFD$9,"Original","Control Number",R$2,$A257)))</f>
        <v/>
      </c>
      <c r="S257" s="34" t="str" cm="1">
        <f t="array" ref="S257">IF($A257="","",IF($J257="No","",GetMatchingValue($XFD$9,"Original","Control Number",S$2,$A257)))</f>
        <v/>
      </c>
      <c r="T257" s="34" t="str" cm="1">
        <f t="array" ref="T257">IF($A257="","",IF($J257="No","",GetMatchingValue($XFD$9,"Original","Control Number",T$2,$A257)))</f>
        <v/>
      </c>
      <c r="U257" s="34" t="str" cm="1">
        <f t="array" ref="U257">IF($A257="","",IF($J257="No","",GetMatchingValue($XFD$9,"Original","Control Number",U$2,$A257)))</f>
        <v/>
      </c>
      <c r="V257" s="14"/>
      <c r="W257" s="17"/>
      <c r="X257" s="17"/>
      <c r="Y257" s="17"/>
      <c r="Z257" s="13"/>
      <c r="AA257" s="13"/>
      <c r="AB257" s="13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3"/>
    </row>
    <row r="258" spans="1:45" ht="40.5" customHeight="1" x14ac:dyDescent="0.2">
      <c r="A258" s="19"/>
      <c r="B258" s="19"/>
      <c r="C258" s="15"/>
      <c r="D258" s="15"/>
      <c r="E258" s="13"/>
      <c r="F258" s="34" t="str" cm="1">
        <f t="array" ref="F258">IF($A258="","",GetMatchingValue($XFD$8,"Original","Control Number",F$2,$A258))</f>
        <v/>
      </c>
      <c r="G258" s="34" t="str" cm="1">
        <f t="array" ref="G258">IF($A258="","",GetMatchingValue($XFD$8,"Original","Control Number",G$2,$A258))</f>
        <v/>
      </c>
      <c r="H258" s="34" t="str" cm="1">
        <f t="array" ref="H258">IF($A258="","",GetMatchingValue($XFD$8,"Original","Control Number",H$2,$A258))</f>
        <v/>
      </c>
      <c r="I258" s="13"/>
      <c r="J258" s="13" t="str" cm="1">
        <f t="array" ref="J258">IF($A258="","",CheckControlNumberExists($XFD$9, "Original", $A258))</f>
        <v/>
      </c>
      <c r="K258" s="34" t="str" cm="1">
        <f t="array" ref="K258">IF($A258="","",IF($J258="No","",GetMatchingValue($XFD$9,"Original","Control Number",K$2,$A258)))</f>
        <v/>
      </c>
      <c r="L258" s="34" t="str" cm="1">
        <f t="array" ref="L258">IF($A258="","",IF($J258="No","",GetMatchingValue($XFD$9,"Original","Control Number",L$2,$A258)))</f>
        <v/>
      </c>
      <c r="M258" s="13" t="str">
        <f t="shared" ca="1" si="5"/>
        <v/>
      </c>
      <c r="N258" s="16"/>
      <c r="O258" s="34" t="str" cm="1">
        <f t="array" ref="O258">IF($A258="","",IF($J258="No","",GetMatchingValue($XFD$9,"Original","Control Number",O$2,$A258)))</f>
        <v/>
      </c>
      <c r="P258" s="34" t="str" cm="1">
        <f t="array" ref="P258">IF($A258="","",IF($J258="No","",GetMatchingValue($XFD$9,"Original","Control Number",P$2,$A258)))</f>
        <v/>
      </c>
      <c r="Q258" s="34" t="str" cm="1">
        <f t="array" ref="Q258">IF($A258="","",IF($J258="No","",GetMatchingValue($XFD$9,"Original","Control Number",Q$2,$A258)))</f>
        <v/>
      </c>
      <c r="R258" s="34" t="str" cm="1">
        <f t="array" ref="R258">IF($A258="","",IF($J258="No","",GetMatchingValue($XFD$9,"Original","Control Number",R$2,$A258)))</f>
        <v/>
      </c>
      <c r="S258" s="34" t="str" cm="1">
        <f t="array" ref="S258">IF($A258="","",IF($J258="No","",GetMatchingValue($XFD$9,"Original","Control Number",S$2,$A258)))</f>
        <v/>
      </c>
      <c r="T258" s="34" t="str" cm="1">
        <f t="array" ref="T258">IF($A258="","",IF($J258="No","",GetMatchingValue($XFD$9,"Original","Control Number",T$2,$A258)))</f>
        <v/>
      </c>
      <c r="U258" s="34" t="str" cm="1">
        <f t="array" ref="U258">IF($A258="","",IF($J258="No","",GetMatchingValue($XFD$9,"Original","Control Number",U$2,$A258)))</f>
        <v/>
      </c>
      <c r="V258" s="14"/>
      <c r="W258" s="17"/>
      <c r="X258" s="17"/>
      <c r="Y258" s="17"/>
      <c r="Z258" s="13"/>
      <c r="AA258" s="13"/>
      <c r="AB258" s="13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3"/>
    </row>
    <row r="259" spans="1:45" ht="40.5" customHeight="1" x14ac:dyDescent="0.2">
      <c r="A259" s="19"/>
      <c r="B259" s="19"/>
      <c r="C259" s="15"/>
      <c r="D259" s="15"/>
      <c r="E259" s="13"/>
      <c r="F259" s="34" t="str" cm="1">
        <f t="array" ref="F259">IF($A259="","",GetMatchingValue($XFD$8,"Original","Control Number",F$2,$A259))</f>
        <v/>
      </c>
      <c r="G259" s="34" t="str" cm="1">
        <f t="array" ref="G259">IF($A259="","",GetMatchingValue($XFD$8,"Original","Control Number",G$2,$A259))</f>
        <v/>
      </c>
      <c r="H259" s="34" t="str" cm="1">
        <f t="array" ref="H259">IF($A259="","",GetMatchingValue($XFD$8,"Original","Control Number",H$2,$A259))</f>
        <v/>
      </c>
      <c r="I259" s="13"/>
      <c r="J259" s="13" t="str" cm="1">
        <f t="array" ref="J259">IF($A259="","",CheckControlNumberExists($XFD$9, "Original", $A259))</f>
        <v/>
      </c>
      <c r="K259" s="34" t="str" cm="1">
        <f t="array" ref="K259">IF($A259="","",IF($J259="No","",GetMatchingValue($XFD$9,"Original","Control Number",K$2,$A259)))</f>
        <v/>
      </c>
      <c r="L259" s="34" t="str" cm="1">
        <f t="array" ref="L259">IF($A259="","",IF($J259="No","",GetMatchingValue($XFD$9,"Original","Control Number",L$2,$A259)))</f>
        <v/>
      </c>
      <c r="M259" s="13" t="str">
        <f t="shared" ca="1" si="5"/>
        <v/>
      </c>
      <c r="N259" s="16"/>
      <c r="O259" s="34" t="str" cm="1">
        <f t="array" ref="O259">IF($A259="","",IF($J259="No","",GetMatchingValue($XFD$9,"Original","Control Number",O$2,$A259)))</f>
        <v/>
      </c>
      <c r="P259" s="34" t="str" cm="1">
        <f t="array" ref="P259">IF($A259="","",IF($J259="No","",GetMatchingValue($XFD$9,"Original","Control Number",P$2,$A259)))</f>
        <v/>
      </c>
      <c r="Q259" s="34" t="str" cm="1">
        <f t="array" ref="Q259">IF($A259="","",IF($J259="No","",GetMatchingValue($XFD$9,"Original","Control Number",Q$2,$A259)))</f>
        <v/>
      </c>
      <c r="R259" s="34" t="str" cm="1">
        <f t="array" ref="R259">IF($A259="","",IF($J259="No","",GetMatchingValue($XFD$9,"Original","Control Number",R$2,$A259)))</f>
        <v/>
      </c>
      <c r="S259" s="34" t="str" cm="1">
        <f t="array" ref="S259">IF($A259="","",IF($J259="No","",GetMatchingValue($XFD$9,"Original","Control Number",S$2,$A259)))</f>
        <v/>
      </c>
      <c r="T259" s="34" t="str" cm="1">
        <f t="array" ref="T259">IF($A259="","",IF($J259="No","",GetMatchingValue($XFD$9,"Original","Control Number",T$2,$A259)))</f>
        <v/>
      </c>
      <c r="U259" s="34" t="str" cm="1">
        <f t="array" ref="U259">IF($A259="","",IF($J259="No","",GetMatchingValue($XFD$9,"Original","Control Number",U$2,$A259)))</f>
        <v/>
      </c>
      <c r="V259" s="14"/>
      <c r="W259" s="17"/>
      <c r="X259" s="17"/>
      <c r="Y259" s="17"/>
      <c r="Z259" s="13"/>
      <c r="AA259" s="13"/>
      <c r="AB259" s="13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3"/>
    </row>
    <row r="260" spans="1:45" ht="40.5" customHeight="1" x14ac:dyDescent="0.2">
      <c r="A260" s="19"/>
      <c r="B260" s="19"/>
      <c r="C260" s="15"/>
      <c r="D260" s="15"/>
      <c r="E260" s="13"/>
      <c r="F260" s="34" t="str" cm="1">
        <f t="array" ref="F260">IF($A260="","",GetMatchingValue($XFD$8,"Original","Control Number",F$2,$A260))</f>
        <v/>
      </c>
      <c r="G260" s="34" t="str" cm="1">
        <f t="array" ref="G260">IF($A260="","",GetMatchingValue($XFD$8,"Original","Control Number",G$2,$A260))</f>
        <v/>
      </c>
      <c r="H260" s="34" t="str" cm="1">
        <f t="array" ref="H260">IF($A260="","",GetMatchingValue($XFD$8,"Original","Control Number",H$2,$A260))</f>
        <v/>
      </c>
      <c r="I260" s="13"/>
      <c r="J260" s="13" t="str" cm="1">
        <f t="array" ref="J260">IF($A260="","",CheckControlNumberExists($XFD$9, "Original", $A260))</f>
        <v/>
      </c>
      <c r="K260" s="34" t="str" cm="1">
        <f t="array" ref="K260">IF($A260="","",IF($J260="No","",GetMatchingValue($XFD$9,"Original","Control Number",K$2,$A260)))</f>
        <v/>
      </c>
      <c r="L260" s="34" t="str" cm="1">
        <f t="array" ref="L260">IF($A260="","",IF($J260="No","",GetMatchingValue($XFD$9,"Original","Control Number",L$2,$A260)))</f>
        <v/>
      </c>
      <c r="M260" s="13" t="str">
        <f t="shared" ca="1" si="5"/>
        <v/>
      </c>
      <c r="N260" s="16"/>
      <c r="O260" s="34" t="str" cm="1">
        <f t="array" ref="O260">IF($A260="","",IF($J260="No","",GetMatchingValue($XFD$9,"Original","Control Number",O$2,$A260)))</f>
        <v/>
      </c>
      <c r="P260" s="34" t="str" cm="1">
        <f t="array" ref="P260">IF($A260="","",IF($J260="No","",GetMatchingValue($XFD$9,"Original","Control Number",P$2,$A260)))</f>
        <v/>
      </c>
      <c r="Q260" s="34" t="str" cm="1">
        <f t="array" ref="Q260">IF($A260="","",IF($J260="No","",GetMatchingValue($XFD$9,"Original","Control Number",Q$2,$A260)))</f>
        <v/>
      </c>
      <c r="R260" s="34" t="str" cm="1">
        <f t="array" ref="R260">IF($A260="","",IF($J260="No","",GetMatchingValue($XFD$9,"Original","Control Number",R$2,$A260)))</f>
        <v/>
      </c>
      <c r="S260" s="34" t="str" cm="1">
        <f t="array" ref="S260">IF($A260="","",IF($J260="No","",GetMatchingValue($XFD$9,"Original","Control Number",S$2,$A260)))</f>
        <v/>
      </c>
      <c r="T260" s="34" t="str" cm="1">
        <f t="array" ref="T260">IF($A260="","",IF($J260="No","",GetMatchingValue($XFD$9,"Original","Control Number",T$2,$A260)))</f>
        <v/>
      </c>
      <c r="U260" s="34" t="str" cm="1">
        <f t="array" ref="U260">IF($A260="","",IF($J260="No","",GetMatchingValue($XFD$9,"Original","Control Number",U$2,$A260)))</f>
        <v/>
      </c>
      <c r="V260" s="14"/>
      <c r="W260" s="17"/>
      <c r="X260" s="17"/>
      <c r="Y260" s="17"/>
      <c r="Z260" s="13"/>
      <c r="AA260" s="13"/>
      <c r="AB260" s="13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3"/>
    </row>
    <row r="261" spans="1:45" ht="40.5" customHeight="1" x14ac:dyDescent="0.2">
      <c r="A261" s="19"/>
      <c r="B261" s="19"/>
      <c r="C261" s="15"/>
      <c r="D261" s="15"/>
      <c r="E261" s="13"/>
      <c r="F261" s="34" t="str" cm="1">
        <f t="array" ref="F261">IF($A261="","",GetMatchingValue($XFD$8,"Original","Control Number",F$2,$A261))</f>
        <v/>
      </c>
      <c r="G261" s="34" t="str" cm="1">
        <f t="array" ref="G261">IF($A261="","",GetMatchingValue($XFD$8,"Original","Control Number",G$2,$A261))</f>
        <v/>
      </c>
      <c r="H261" s="34" t="str" cm="1">
        <f t="array" ref="H261">IF($A261="","",GetMatchingValue($XFD$8,"Original","Control Number",H$2,$A261))</f>
        <v/>
      </c>
      <c r="I261" s="13"/>
      <c r="J261" s="13" t="str" cm="1">
        <f t="array" ref="J261">IF($A261="","",CheckControlNumberExists($XFD$9, "Original", $A261))</f>
        <v/>
      </c>
      <c r="K261" s="34" t="str" cm="1">
        <f t="array" ref="K261">IF($A261="","",IF($J261="No","",GetMatchingValue($XFD$9,"Original","Control Number",K$2,$A261)))</f>
        <v/>
      </c>
      <c r="L261" s="34" t="str" cm="1">
        <f t="array" ref="L261">IF($A261="","",IF($J261="No","",GetMatchingValue($XFD$9,"Original","Control Number",L$2,$A261)))</f>
        <v/>
      </c>
      <c r="M261" s="13" t="str">
        <f t="shared" ca="1" si="5"/>
        <v/>
      </c>
      <c r="N261" s="16"/>
      <c r="O261" s="34" t="str" cm="1">
        <f t="array" ref="O261">IF($A261="","",IF($J261="No","",GetMatchingValue($XFD$9,"Original","Control Number",O$2,$A261)))</f>
        <v/>
      </c>
      <c r="P261" s="34" t="str" cm="1">
        <f t="array" ref="P261">IF($A261="","",IF($J261="No","",GetMatchingValue($XFD$9,"Original","Control Number",P$2,$A261)))</f>
        <v/>
      </c>
      <c r="Q261" s="34" t="str" cm="1">
        <f t="array" ref="Q261">IF($A261="","",IF($J261="No","",GetMatchingValue($XFD$9,"Original","Control Number",Q$2,$A261)))</f>
        <v/>
      </c>
      <c r="R261" s="34" t="str" cm="1">
        <f t="array" ref="R261">IF($A261="","",IF($J261="No","",GetMatchingValue($XFD$9,"Original","Control Number",R$2,$A261)))</f>
        <v/>
      </c>
      <c r="S261" s="34" t="str" cm="1">
        <f t="array" ref="S261">IF($A261="","",IF($J261="No","",GetMatchingValue($XFD$9,"Original","Control Number",S$2,$A261)))</f>
        <v/>
      </c>
      <c r="T261" s="34" t="str" cm="1">
        <f t="array" ref="T261">IF($A261="","",IF($J261="No","",GetMatchingValue($XFD$9,"Original","Control Number",T$2,$A261)))</f>
        <v/>
      </c>
      <c r="U261" s="34" t="str" cm="1">
        <f t="array" ref="U261">IF($A261="","",IF($J261="No","",GetMatchingValue($XFD$9,"Original","Control Number",U$2,$A261)))</f>
        <v/>
      </c>
      <c r="V261" s="14"/>
      <c r="W261" s="17"/>
      <c r="X261" s="17"/>
      <c r="Y261" s="17"/>
      <c r="Z261" s="13"/>
      <c r="AA261" s="13"/>
      <c r="AB261" s="13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3"/>
    </row>
    <row r="262" spans="1:45" ht="40.5" customHeight="1" x14ac:dyDescent="0.2">
      <c r="A262" s="19"/>
      <c r="B262" s="19"/>
      <c r="C262" s="15"/>
      <c r="D262" s="15"/>
      <c r="E262" s="13"/>
      <c r="F262" s="34" t="str" cm="1">
        <f t="array" ref="F262">IF($A262="","",GetMatchingValue($XFD$8,"Original","Control Number",F$2,$A262))</f>
        <v/>
      </c>
      <c r="G262" s="34" t="str" cm="1">
        <f t="array" ref="G262">IF($A262="","",GetMatchingValue($XFD$8,"Original","Control Number",G$2,$A262))</f>
        <v/>
      </c>
      <c r="H262" s="34" t="str" cm="1">
        <f t="array" ref="H262">IF($A262="","",GetMatchingValue($XFD$8,"Original","Control Number",H$2,$A262))</f>
        <v/>
      </c>
      <c r="I262" s="13"/>
      <c r="J262" s="13" t="str" cm="1">
        <f t="array" ref="J262">IF($A262="","",CheckControlNumberExists($XFD$9, "Original", $A262))</f>
        <v/>
      </c>
      <c r="K262" s="34" t="str" cm="1">
        <f t="array" ref="K262">IF($A262="","",IF($J262="No","",GetMatchingValue($XFD$9,"Original","Control Number",K$2,$A262)))</f>
        <v/>
      </c>
      <c r="L262" s="34" t="str" cm="1">
        <f t="array" ref="L262">IF($A262="","",IF($J262="No","",GetMatchingValue($XFD$9,"Original","Control Number",L$2,$A262)))</f>
        <v/>
      </c>
      <c r="M262" s="13" t="str">
        <f t="shared" ca="1" si="5"/>
        <v/>
      </c>
      <c r="N262" s="16"/>
      <c r="O262" s="34" t="str" cm="1">
        <f t="array" ref="O262">IF($A262="","",IF($J262="No","",GetMatchingValue($XFD$9,"Original","Control Number",O$2,$A262)))</f>
        <v/>
      </c>
      <c r="P262" s="34" t="str" cm="1">
        <f t="array" ref="P262">IF($A262="","",IF($J262="No","",GetMatchingValue($XFD$9,"Original","Control Number",P$2,$A262)))</f>
        <v/>
      </c>
      <c r="Q262" s="34" t="str" cm="1">
        <f t="array" ref="Q262">IF($A262="","",IF($J262="No","",GetMatchingValue($XFD$9,"Original","Control Number",Q$2,$A262)))</f>
        <v/>
      </c>
      <c r="R262" s="34" t="str" cm="1">
        <f t="array" ref="R262">IF($A262="","",IF($J262="No","",GetMatchingValue($XFD$9,"Original","Control Number",R$2,$A262)))</f>
        <v/>
      </c>
      <c r="S262" s="34" t="str" cm="1">
        <f t="array" ref="S262">IF($A262="","",IF($J262="No","",GetMatchingValue($XFD$9,"Original","Control Number",S$2,$A262)))</f>
        <v/>
      </c>
      <c r="T262" s="34" t="str" cm="1">
        <f t="array" ref="T262">IF($A262="","",IF($J262="No","",GetMatchingValue($XFD$9,"Original","Control Number",T$2,$A262)))</f>
        <v/>
      </c>
      <c r="U262" s="34" t="str" cm="1">
        <f t="array" ref="U262">IF($A262="","",IF($J262="No","",GetMatchingValue($XFD$9,"Original","Control Number",U$2,$A262)))</f>
        <v/>
      </c>
      <c r="V262" s="14"/>
      <c r="W262" s="17"/>
      <c r="X262" s="17"/>
      <c r="Y262" s="17"/>
      <c r="Z262" s="13"/>
      <c r="AA262" s="13"/>
      <c r="AB262" s="13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3"/>
    </row>
    <row r="263" spans="1:45" ht="40.5" customHeight="1" x14ac:dyDescent="0.2">
      <c r="A263" s="19"/>
      <c r="B263" s="19"/>
      <c r="C263" s="15"/>
      <c r="D263" s="15"/>
      <c r="E263" s="13"/>
      <c r="F263" s="34" t="str" cm="1">
        <f t="array" ref="F263">IF($A263="","",GetMatchingValue($XFD$8,"Original","Control Number",F$2,$A263))</f>
        <v/>
      </c>
      <c r="G263" s="34" t="str" cm="1">
        <f t="array" ref="G263">IF($A263="","",GetMatchingValue($XFD$8,"Original","Control Number",G$2,$A263))</f>
        <v/>
      </c>
      <c r="H263" s="34" t="str" cm="1">
        <f t="array" ref="H263">IF($A263="","",GetMatchingValue($XFD$8,"Original","Control Number",H$2,$A263))</f>
        <v/>
      </c>
      <c r="I263" s="13"/>
      <c r="J263" s="13" t="str" cm="1">
        <f t="array" ref="J263">IF($A263="","",CheckControlNumberExists($XFD$9, "Original", $A263))</f>
        <v/>
      </c>
      <c r="K263" s="34" t="str" cm="1">
        <f t="array" ref="K263">IF($A263="","",IF($J263="No","",GetMatchingValue($XFD$9,"Original","Control Number",K$2,$A263)))</f>
        <v/>
      </c>
      <c r="L263" s="34" t="str" cm="1">
        <f t="array" ref="L263">IF($A263="","",IF($J263="No","",GetMatchingValue($XFD$9,"Original","Control Number",L$2,$A263)))</f>
        <v/>
      </c>
      <c r="M263" s="13" t="str">
        <f t="shared" ca="1" si="5"/>
        <v/>
      </c>
      <c r="N263" s="16"/>
      <c r="O263" s="34" t="str" cm="1">
        <f t="array" ref="O263">IF($A263="","",IF($J263="No","",GetMatchingValue($XFD$9,"Original","Control Number",O$2,$A263)))</f>
        <v/>
      </c>
      <c r="P263" s="34" t="str" cm="1">
        <f t="array" ref="P263">IF($A263="","",IF($J263="No","",GetMatchingValue($XFD$9,"Original","Control Number",P$2,$A263)))</f>
        <v/>
      </c>
      <c r="Q263" s="34" t="str" cm="1">
        <f t="array" ref="Q263">IF($A263="","",IF($J263="No","",GetMatchingValue($XFD$9,"Original","Control Number",Q$2,$A263)))</f>
        <v/>
      </c>
      <c r="R263" s="34" t="str" cm="1">
        <f t="array" ref="R263">IF($A263="","",IF($J263="No","",GetMatchingValue($XFD$9,"Original","Control Number",R$2,$A263)))</f>
        <v/>
      </c>
      <c r="S263" s="34" t="str" cm="1">
        <f t="array" ref="S263">IF($A263="","",IF($J263="No","",GetMatchingValue($XFD$9,"Original","Control Number",S$2,$A263)))</f>
        <v/>
      </c>
      <c r="T263" s="34" t="str" cm="1">
        <f t="array" ref="T263">IF($A263="","",IF($J263="No","",GetMatchingValue($XFD$9,"Original","Control Number",T$2,$A263)))</f>
        <v/>
      </c>
      <c r="U263" s="34" t="str" cm="1">
        <f t="array" ref="U263">IF($A263="","",IF($J263="No","",GetMatchingValue($XFD$9,"Original","Control Number",U$2,$A263)))</f>
        <v/>
      </c>
      <c r="V263" s="14"/>
      <c r="W263" s="17"/>
      <c r="X263" s="17"/>
      <c r="Y263" s="17"/>
      <c r="Z263" s="13"/>
      <c r="AA263" s="13"/>
      <c r="AB263" s="13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3"/>
    </row>
    <row r="264" spans="1:45" ht="40.5" customHeight="1" x14ac:dyDescent="0.2">
      <c r="A264" s="19"/>
      <c r="B264" s="19"/>
      <c r="C264" s="15"/>
      <c r="D264" s="15"/>
      <c r="E264" s="13"/>
      <c r="F264" s="34" t="str" cm="1">
        <f t="array" ref="F264">IF($A264="","",GetMatchingValue($XFD$8,"Original","Control Number",F$2,$A264))</f>
        <v/>
      </c>
      <c r="G264" s="34" t="str" cm="1">
        <f t="array" ref="G264">IF($A264="","",GetMatchingValue($XFD$8,"Original","Control Number",G$2,$A264))</f>
        <v/>
      </c>
      <c r="H264" s="34" t="str" cm="1">
        <f t="array" ref="H264">IF($A264="","",GetMatchingValue($XFD$8,"Original","Control Number",H$2,$A264))</f>
        <v/>
      </c>
      <c r="I264" s="13"/>
      <c r="J264" s="13" t="str" cm="1">
        <f t="array" ref="J264">IF($A264="","",CheckControlNumberExists($XFD$9, "Original", $A264))</f>
        <v/>
      </c>
      <c r="K264" s="34" t="str" cm="1">
        <f t="array" ref="K264">IF($A264="","",IF($J264="No","",GetMatchingValue($XFD$9,"Original","Control Number",K$2,$A264)))</f>
        <v/>
      </c>
      <c r="L264" s="34" t="str" cm="1">
        <f t="array" ref="L264">IF($A264="","",IF($J264="No","",GetMatchingValue($XFD$9,"Original","Control Number",L$2,$A264)))</f>
        <v/>
      </c>
      <c r="M264" s="13" t="str">
        <f t="shared" ca="1" si="5"/>
        <v/>
      </c>
      <c r="N264" s="16"/>
      <c r="O264" s="34" t="str" cm="1">
        <f t="array" ref="O264">IF($A264="","",IF($J264="No","",GetMatchingValue($XFD$9,"Original","Control Number",O$2,$A264)))</f>
        <v/>
      </c>
      <c r="P264" s="34" t="str" cm="1">
        <f t="array" ref="P264">IF($A264="","",IF($J264="No","",GetMatchingValue($XFD$9,"Original","Control Number",P$2,$A264)))</f>
        <v/>
      </c>
      <c r="Q264" s="34" t="str" cm="1">
        <f t="array" ref="Q264">IF($A264="","",IF($J264="No","",GetMatchingValue($XFD$9,"Original","Control Number",Q$2,$A264)))</f>
        <v/>
      </c>
      <c r="R264" s="34" t="str" cm="1">
        <f t="array" ref="R264">IF($A264="","",IF($J264="No","",GetMatchingValue($XFD$9,"Original","Control Number",R$2,$A264)))</f>
        <v/>
      </c>
      <c r="S264" s="34" t="str" cm="1">
        <f t="array" ref="S264">IF($A264="","",IF($J264="No","",GetMatchingValue($XFD$9,"Original","Control Number",S$2,$A264)))</f>
        <v/>
      </c>
      <c r="T264" s="34" t="str" cm="1">
        <f t="array" ref="T264">IF($A264="","",IF($J264="No","",GetMatchingValue($XFD$9,"Original","Control Number",T$2,$A264)))</f>
        <v/>
      </c>
      <c r="U264" s="34" t="str" cm="1">
        <f t="array" ref="U264">IF($A264="","",IF($J264="No","",GetMatchingValue($XFD$9,"Original","Control Number",U$2,$A264)))</f>
        <v/>
      </c>
      <c r="V264" s="14"/>
      <c r="W264" s="17"/>
      <c r="X264" s="17"/>
      <c r="Y264" s="17"/>
      <c r="Z264" s="13"/>
      <c r="AA264" s="13"/>
      <c r="AB264" s="13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3"/>
    </row>
    <row r="265" spans="1:45" ht="40.5" customHeight="1" x14ac:dyDescent="0.2">
      <c r="A265" s="19"/>
      <c r="B265" s="19"/>
      <c r="C265" s="15"/>
      <c r="D265" s="15"/>
      <c r="E265" s="13"/>
      <c r="F265" s="34" t="str" cm="1">
        <f t="array" ref="F265">IF($A265="","",GetMatchingValue($XFD$8,"Original","Control Number",F$2,$A265))</f>
        <v/>
      </c>
      <c r="G265" s="34" t="str" cm="1">
        <f t="array" ref="G265">IF($A265="","",GetMatchingValue($XFD$8,"Original","Control Number",G$2,$A265))</f>
        <v/>
      </c>
      <c r="H265" s="34" t="str" cm="1">
        <f t="array" ref="H265">IF($A265="","",GetMatchingValue($XFD$8,"Original","Control Number",H$2,$A265))</f>
        <v/>
      </c>
      <c r="I265" s="13"/>
      <c r="J265" s="13" t="str" cm="1">
        <f t="array" ref="J265">IF($A265="","",CheckControlNumberExists($XFD$9, "Original", $A265))</f>
        <v/>
      </c>
      <c r="K265" s="34" t="str" cm="1">
        <f t="array" ref="K265">IF($A265="","",IF($J265="No","",GetMatchingValue($XFD$9,"Original","Control Number",K$2,$A265)))</f>
        <v/>
      </c>
      <c r="L265" s="34" t="str" cm="1">
        <f t="array" ref="L265">IF($A265="","",IF($J265="No","",GetMatchingValue($XFD$9,"Original","Control Number",L$2,$A265)))</f>
        <v/>
      </c>
      <c r="M265" s="13" t="str">
        <f t="shared" ref="M265:M328" ca="1" si="6">IFERROR(INDEX(
    INDIRECT($XFD$7 &amp; ADDRESS(2, MATCH(M$2, INDIRECT($XFD$7 &amp; "1:1"), 0)) &amp; ":" &amp; ADDRESS(65536, MATCH(M$2, INDIRECT($XFD$7 &amp; "1:1"), 0))),
    MATCH($A265, INDIRECT($XFD$7 &amp; ADDRESS(2, MATCH("Control Number", INDIRECT($XFD$7 &amp; "1:1"), 0)) &amp; ":" &amp; ADDRESS(65536, MATCH("Control Number", INDIRECT($XFD$7 &amp; "1:1"), 0))), 0)
),"")</f>
        <v/>
      </c>
      <c r="N265" s="16"/>
      <c r="O265" s="34" t="str" cm="1">
        <f t="array" ref="O265">IF($A265="","",IF($J265="No","",GetMatchingValue($XFD$9,"Original","Control Number",O$2,$A265)))</f>
        <v/>
      </c>
      <c r="P265" s="34" t="str" cm="1">
        <f t="array" ref="P265">IF($A265="","",IF($J265="No","",GetMatchingValue($XFD$9,"Original","Control Number",P$2,$A265)))</f>
        <v/>
      </c>
      <c r="Q265" s="34" t="str" cm="1">
        <f t="array" ref="Q265">IF($A265="","",IF($J265="No","",GetMatchingValue($XFD$9,"Original","Control Number",Q$2,$A265)))</f>
        <v/>
      </c>
      <c r="R265" s="34" t="str" cm="1">
        <f t="array" ref="R265">IF($A265="","",IF($J265="No","",GetMatchingValue($XFD$9,"Original","Control Number",R$2,$A265)))</f>
        <v/>
      </c>
      <c r="S265" s="34" t="str" cm="1">
        <f t="array" ref="S265">IF($A265="","",IF($J265="No","",GetMatchingValue($XFD$9,"Original","Control Number",S$2,$A265)))</f>
        <v/>
      </c>
      <c r="T265" s="34" t="str" cm="1">
        <f t="array" ref="T265">IF($A265="","",IF($J265="No","",GetMatchingValue($XFD$9,"Original","Control Number",T$2,$A265)))</f>
        <v/>
      </c>
      <c r="U265" s="34" t="str" cm="1">
        <f t="array" ref="U265">IF($A265="","",IF($J265="No","",GetMatchingValue($XFD$9,"Original","Control Number",U$2,$A265)))</f>
        <v/>
      </c>
      <c r="V265" s="14"/>
      <c r="W265" s="17"/>
      <c r="X265" s="17"/>
      <c r="Y265" s="17"/>
      <c r="Z265" s="13"/>
      <c r="AA265" s="13"/>
      <c r="AB265" s="13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3"/>
    </row>
    <row r="266" spans="1:45" ht="40.5" customHeight="1" x14ac:dyDescent="0.2">
      <c r="A266" s="19"/>
      <c r="B266" s="19"/>
      <c r="C266" s="15"/>
      <c r="D266" s="15"/>
      <c r="E266" s="13"/>
      <c r="F266" s="34" t="str" cm="1">
        <f t="array" ref="F266">IF($A266="","",GetMatchingValue($XFD$8,"Original","Control Number",F$2,$A266))</f>
        <v/>
      </c>
      <c r="G266" s="34" t="str" cm="1">
        <f t="array" ref="G266">IF($A266="","",GetMatchingValue($XFD$8,"Original","Control Number",G$2,$A266))</f>
        <v/>
      </c>
      <c r="H266" s="34" t="str" cm="1">
        <f t="array" ref="H266">IF($A266="","",GetMatchingValue($XFD$8,"Original","Control Number",H$2,$A266))</f>
        <v/>
      </c>
      <c r="I266" s="13"/>
      <c r="J266" s="13" t="str" cm="1">
        <f t="array" ref="J266">IF($A266="","",CheckControlNumberExists($XFD$9, "Original", $A266))</f>
        <v/>
      </c>
      <c r="K266" s="34" t="str" cm="1">
        <f t="array" ref="K266">IF($A266="","",IF($J266="No","",GetMatchingValue($XFD$9,"Original","Control Number",K$2,$A266)))</f>
        <v/>
      </c>
      <c r="L266" s="34" t="str" cm="1">
        <f t="array" ref="L266">IF($A266="","",IF($J266="No","",GetMatchingValue($XFD$9,"Original","Control Number",L$2,$A266)))</f>
        <v/>
      </c>
      <c r="M266" s="13" t="str">
        <f t="shared" ca="1" si="6"/>
        <v/>
      </c>
      <c r="N266" s="16"/>
      <c r="O266" s="34" t="str" cm="1">
        <f t="array" ref="O266">IF($A266="","",IF($J266="No","",GetMatchingValue($XFD$9,"Original","Control Number",O$2,$A266)))</f>
        <v/>
      </c>
      <c r="P266" s="34" t="str" cm="1">
        <f t="array" ref="P266">IF($A266="","",IF($J266="No","",GetMatchingValue($XFD$9,"Original","Control Number",P$2,$A266)))</f>
        <v/>
      </c>
      <c r="Q266" s="34" t="str" cm="1">
        <f t="array" ref="Q266">IF($A266="","",IF($J266="No","",GetMatchingValue($XFD$9,"Original","Control Number",Q$2,$A266)))</f>
        <v/>
      </c>
      <c r="R266" s="34" t="str" cm="1">
        <f t="array" ref="R266">IF($A266="","",IF($J266="No","",GetMatchingValue($XFD$9,"Original","Control Number",R$2,$A266)))</f>
        <v/>
      </c>
      <c r="S266" s="34" t="str" cm="1">
        <f t="array" ref="S266">IF($A266="","",IF($J266="No","",GetMatchingValue($XFD$9,"Original","Control Number",S$2,$A266)))</f>
        <v/>
      </c>
      <c r="T266" s="34" t="str" cm="1">
        <f t="array" ref="T266">IF($A266="","",IF($J266="No","",GetMatchingValue($XFD$9,"Original","Control Number",T$2,$A266)))</f>
        <v/>
      </c>
      <c r="U266" s="34" t="str" cm="1">
        <f t="array" ref="U266">IF($A266="","",IF($J266="No","",GetMatchingValue($XFD$9,"Original","Control Number",U$2,$A266)))</f>
        <v/>
      </c>
      <c r="V266" s="14"/>
      <c r="W266" s="17"/>
      <c r="X266" s="17"/>
      <c r="Y266" s="17"/>
      <c r="Z266" s="13"/>
      <c r="AA266" s="13"/>
      <c r="AB266" s="13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3"/>
    </row>
    <row r="267" spans="1:45" ht="40.5" customHeight="1" x14ac:dyDescent="0.2">
      <c r="A267" s="19"/>
      <c r="B267" s="19"/>
      <c r="C267" s="15"/>
      <c r="D267" s="15"/>
      <c r="E267" s="13"/>
      <c r="F267" s="34" t="str" cm="1">
        <f t="array" ref="F267">IF($A267="","",GetMatchingValue($XFD$8,"Original","Control Number",F$2,$A267))</f>
        <v/>
      </c>
      <c r="G267" s="34" t="str" cm="1">
        <f t="array" ref="G267">IF($A267="","",GetMatchingValue($XFD$8,"Original","Control Number",G$2,$A267))</f>
        <v/>
      </c>
      <c r="H267" s="34" t="str" cm="1">
        <f t="array" ref="H267">IF($A267="","",GetMatchingValue($XFD$8,"Original","Control Number",H$2,$A267))</f>
        <v/>
      </c>
      <c r="I267" s="13"/>
      <c r="J267" s="13" t="str" cm="1">
        <f t="array" ref="J267">IF($A267="","",CheckControlNumberExists($XFD$9, "Original", $A267))</f>
        <v/>
      </c>
      <c r="K267" s="34" t="str" cm="1">
        <f t="array" ref="K267">IF($A267="","",IF($J267="No","",GetMatchingValue($XFD$9,"Original","Control Number",K$2,$A267)))</f>
        <v/>
      </c>
      <c r="L267" s="34" t="str" cm="1">
        <f t="array" ref="L267">IF($A267="","",IF($J267="No","",GetMatchingValue($XFD$9,"Original","Control Number",L$2,$A267)))</f>
        <v/>
      </c>
      <c r="M267" s="13" t="str">
        <f t="shared" ca="1" si="6"/>
        <v/>
      </c>
      <c r="N267" s="16"/>
      <c r="O267" s="34" t="str" cm="1">
        <f t="array" ref="O267">IF($A267="","",IF($J267="No","",GetMatchingValue($XFD$9,"Original","Control Number",O$2,$A267)))</f>
        <v/>
      </c>
      <c r="P267" s="34" t="str" cm="1">
        <f t="array" ref="P267">IF($A267="","",IF($J267="No","",GetMatchingValue($XFD$9,"Original","Control Number",P$2,$A267)))</f>
        <v/>
      </c>
      <c r="Q267" s="34" t="str" cm="1">
        <f t="array" ref="Q267">IF($A267="","",IF($J267="No","",GetMatchingValue($XFD$9,"Original","Control Number",Q$2,$A267)))</f>
        <v/>
      </c>
      <c r="R267" s="34" t="str" cm="1">
        <f t="array" ref="R267">IF($A267="","",IF($J267="No","",GetMatchingValue($XFD$9,"Original","Control Number",R$2,$A267)))</f>
        <v/>
      </c>
      <c r="S267" s="34" t="str" cm="1">
        <f t="array" ref="S267">IF($A267="","",IF($J267="No","",GetMatchingValue($XFD$9,"Original","Control Number",S$2,$A267)))</f>
        <v/>
      </c>
      <c r="T267" s="34" t="str" cm="1">
        <f t="array" ref="T267">IF($A267="","",IF($J267="No","",GetMatchingValue($XFD$9,"Original","Control Number",T$2,$A267)))</f>
        <v/>
      </c>
      <c r="U267" s="34" t="str" cm="1">
        <f t="array" ref="U267">IF($A267="","",IF($J267="No","",GetMatchingValue($XFD$9,"Original","Control Number",U$2,$A267)))</f>
        <v/>
      </c>
      <c r="V267" s="14"/>
      <c r="W267" s="17"/>
      <c r="X267" s="17"/>
      <c r="Y267" s="17"/>
      <c r="Z267" s="13"/>
      <c r="AA267" s="13"/>
      <c r="AB267" s="13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3"/>
    </row>
    <row r="268" spans="1:45" ht="40.5" customHeight="1" x14ac:dyDescent="0.2">
      <c r="A268" s="19"/>
      <c r="B268" s="19"/>
      <c r="C268" s="15"/>
      <c r="D268" s="15"/>
      <c r="E268" s="13"/>
      <c r="F268" s="34" t="str" cm="1">
        <f t="array" ref="F268">IF($A268="","",GetMatchingValue($XFD$8,"Original","Control Number",F$2,$A268))</f>
        <v/>
      </c>
      <c r="G268" s="34" t="str" cm="1">
        <f t="array" ref="G268">IF($A268="","",GetMatchingValue($XFD$8,"Original","Control Number",G$2,$A268))</f>
        <v/>
      </c>
      <c r="H268" s="34" t="str" cm="1">
        <f t="array" ref="H268">IF($A268="","",GetMatchingValue($XFD$8,"Original","Control Number",H$2,$A268))</f>
        <v/>
      </c>
      <c r="I268" s="13"/>
      <c r="J268" s="13" t="str" cm="1">
        <f t="array" ref="J268">IF($A268="","",CheckControlNumberExists($XFD$9, "Original", $A268))</f>
        <v/>
      </c>
      <c r="K268" s="34" t="str" cm="1">
        <f t="array" ref="K268">IF($A268="","",IF($J268="No","",GetMatchingValue($XFD$9,"Original","Control Number",K$2,$A268)))</f>
        <v/>
      </c>
      <c r="L268" s="34" t="str" cm="1">
        <f t="array" ref="L268">IF($A268="","",IF($J268="No","",GetMatchingValue($XFD$9,"Original","Control Number",L$2,$A268)))</f>
        <v/>
      </c>
      <c r="M268" s="13" t="str">
        <f t="shared" ca="1" si="6"/>
        <v/>
      </c>
      <c r="N268" s="16"/>
      <c r="O268" s="34" t="str" cm="1">
        <f t="array" ref="O268">IF($A268="","",IF($J268="No","",GetMatchingValue($XFD$9,"Original","Control Number",O$2,$A268)))</f>
        <v/>
      </c>
      <c r="P268" s="34" t="str" cm="1">
        <f t="array" ref="P268">IF($A268="","",IF($J268="No","",GetMatchingValue($XFD$9,"Original","Control Number",P$2,$A268)))</f>
        <v/>
      </c>
      <c r="Q268" s="34" t="str" cm="1">
        <f t="array" ref="Q268">IF($A268="","",IF($J268="No","",GetMatchingValue($XFD$9,"Original","Control Number",Q$2,$A268)))</f>
        <v/>
      </c>
      <c r="R268" s="34" t="str" cm="1">
        <f t="array" ref="R268">IF($A268="","",IF($J268="No","",GetMatchingValue($XFD$9,"Original","Control Number",R$2,$A268)))</f>
        <v/>
      </c>
      <c r="S268" s="34" t="str" cm="1">
        <f t="array" ref="S268">IF($A268="","",IF($J268="No","",GetMatchingValue($XFD$9,"Original","Control Number",S$2,$A268)))</f>
        <v/>
      </c>
      <c r="T268" s="34" t="str" cm="1">
        <f t="array" ref="T268">IF($A268="","",IF($J268="No","",GetMatchingValue($XFD$9,"Original","Control Number",T$2,$A268)))</f>
        <v/>
      </c>
      <c r="U268" s="34" t="str" cm="1">
        <f t="array" ref="U268">IF($A268="","",IF($J268="No","",GetMatchingValue($XFD$9,"Original","Control Number",U$2,$A268)))</f>
        <v/>
      </c>
      <c r="V268" s="14"/>
      <c r="W268" s="17"/>
      <c r="X268" s="17"/>
      <c r="Y268" s="17"/>
      <c r="Z268" s="13"/>
      <c r="AA268" s="13"/>
      <c r="AB268" s="13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3"/>
    </row>
    <row r="269" spans="1:45" ht="40.5" customHeight="1" x14ac:dyDescent="0.2">
      <c r="A269" s="19"/>
      <c r="B269" s="19"/>
      <c r="C269" s="15"/>
      <c r="D269" s="15"/>
      <c r="E269" s="13"/>
      <c r="F269" s="34" t="str" cm="1">
        <f t="array" ref="F269">IF($A269="","",GetMatchingValue($XFD$8,"Original","Control Number",F$2,$A269))</f>
        <v/>
      </c>
      <c r="G269" s="34" t="str" cm="1">
        <f t="array" ref="G269">IF($A269="","",GetMatchingValue($XFD$8,"Original","Control Number",G$2,$A269))</f>
        <v/>
      </c>
      <c r="H269" s="34" t="str" cm="1">
        <f t="array" ref="H269">IF($A269="","",GetMatchingValue($XFD$8,"Original","Control Number",H$2,$A269))</f>
        <v/>
      </c>
      <c r="I269" s="13"/>
      <c r="J269" s="13" t="str" cm="1">
        <f t="array" ref="J269">IF($A269="","",CheckControlNumberExists($XFD$9, "Original", $A269))</f>
        <v/>
      </c>
      <c r="K269" s="34" t="str" cm="1">
        <f t="array" ref="K269">IF($A269="","",IF($J269="No","",GetMatchingValue($XFD$9,"Original","Control Number",K$2,$A269)))</f>
        <v/>
      </c>
      <c r="L269" s="34" t="str" cm="1">
        <f t="array" ref="L269">IF($A269="","",IF($J269="No","",GetMatchingValue($XFD$9,"Original","Control Number",L$2,$A269)))</f>
        <v/>
      </c>
      <c r="M269" s="13" t="str">
        <f t="shared" ca="1" si="6"/>
        <v/>
      </c>
      <c r="N269" s="16"/>
      <c r="O269" s="34" t="str" cm="1">
        <f t="array" ref="O269">IF($A269="","",IF($J269="No","",GetMatchingValue($XFD$9,"Original","Control Number",O$2,$A269)))</f>
        <v/>
      </c>
      <c r="P269" s="34" t="str" cm="1">
        <f t="array" ref="P269">IF($A269="","",IF($J269="No","",GetMatchingValue($XFD$9,"Original","Control Number",P$2,$A269)))</f>
        <v/>
      </c>
      <c r="Q269" s="34" t="str" cm="1">
        <f t="array" ref="Q269">IF($A269="","",IF($J269="No","",GetMatchingValue($XFD$9,"Original","Control Number",Q$2,$A269)))</f>
        <v/>
      </c>
      <c r="R269" s="34" t="str" cm="1">
        <f t="array" ref="R269">IF($A269="","",IF($J269="No","",GetMatchingValue($XFD$9,"Original","Control Number",R$2,$A269)))</f>
        <v/>
      </c>
      <c r="S269" s="34" t="str" cm="1">
        <f t="array" ref="S269">IF($A269="","",IF($J269="No","",GetMatchingValue($XFD$9,"Original","Control Number",S$2,$A269)))</f>
        <v/>
      </c>
      <c r="T269" s="34" t="str" cm="1">
        <f t="array" ref="T269">IF($A269="","",IF($J269="No","",GetMatchingValue($XFD$9,"Original","Control Number",T$2,$A269)))</f>
        <v/>
      </c>
      <c r="U269" s="34" t="str" cm="1">
        <f t="array" ref="U269">IF($A269="","",IF($J269="No","",GetMatchingValue($XFD$9,"Original","Control Number",U$2,$A269)))</f>
        <v/>
      </c>
      <c r="V269" s="14"/>
      <c r="W269" s="17"/>
      <c r="X269" s="17"/>
      <c r="Y269" s="17"/>
      <c r="Z269" s="13"/>
      <c r="AA269" s="13"/>
      <c r="AB269" s="13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3"/>
    </row>
    <row r="270" spans="1:45" ht="40.5" customHeight="1" x14ac:dyDescent="0.2">
      <c r="A270" s="19"/>
      <c r="B270" s="19"/>
      <c r="C270" s="15"/>
      <c r="D270" s="15"/>
      <c r="E270" s="13"/>
      <c r="F270" s="34" t="str" cm="1">
        <f t="array" ref="F270">IF($A270="","",GetMatchingValue($XFD$8,"Original","Control Number",F$2,$A270))</f>
        <v/>
      </c>
      <c r="G270" s="34" t="str" cm="1">
        <f t="array" ref="G270">IF($A270="","",GetMatchingValue($XFD$8,"Original","Control Number",G$2,$A270))</f>
        <v/>
      </c>
      <c r="H270" s="34" t="str" cm="1">
        <f t="array" ref="H270">IF($A270="","",GetMatchingValue($XFD$8,"Original","Control Number",H$2,$A270))</f>
        <v/>
      </c>
      <c r="I270" s="13"/>
      <c r="J270" s="13" t="str" cm="1">
        <f t="array" ref="J270">IF($A270="","",CheckControlNumberExists($XFD$9, "Original", $A270))</f>
        <v/>
      </c>
      <c r="K270" s="34" t="str" cm="1">
        <f t="array" ref="K270">IF($A270="","",IF($J270="No","",GetMatchingValue($XFD$9,"Original","Control Number",K$2,$A270)))</f>
        <v/>
      </c>
      <c r="L270" s="34" t="str" cm="1">
        <f t="array" ref="L270">IF($A270="","",IF($J270="No","",GetMatchingValue($XFD$9,"Original","Control Number",L$2,$A270)))</f>
        <v/>
      </c>
      <c r="M270" s="13" t="str">
        <f t="shared" ca="1" si="6"/>
        <v/>
      </c>
      <c r="N270" s="16"/>
      <c r="O270" s="34" t="str" cm="1">
        <f t="array" ref="O270">IF($A270="","",IF($J270="No","",GetMatchingValue($XFD$9,"Original","Control Number",O$2,$A270)))</f>
        <v/>
      </c>
      <c r="P270" s="34" t="str" cm="1">
        <f t="array" ref="P270">IF($A270="","",IF($J270="No","",GetMatchingValue($XFD$9,"Original","Control Number",P$2,$A270)))</f>
        <v/>
      </c>
      <c r="Q270" s="34" t="str" cm="1">
        <f t="array" ref="Q270">IF($A270="","",IF($J270="No","",GetMatchingValue($XFD$9,"Original","Control Number",Q$2,$A270)))</f>
        <v/>
      </c>
      <c r="R270" s="34" t="str" cm="1">
        <f t="array" ref="R270">IF($A270="","",IF($J270="No","",GetMatchingValue($XFD$9,"Original","Control Number",R$2,$A270)))</f>
        <v/>
      </c>
      <c r="S270" s="34" t="str" cm="1">
        <f t="array" ref="S270">IF($A270="","",IF($J270="No","",GetMatchingValue($XFD$9,"Original","Control Number",S$2,$A270)))</f>
        <v/>
      </c>
      <c r="T270" s="34" t="str" cm="1">
        <f t="array" ref="T270">IF($A270="","",IF($J270="No","",GetMatchingValue($XFD$9,"Original","Control Number",T$2,$A270)))</f>
        <v/>
      </c>
      <c r="U270" s="34" t="str" cm="1">
        <f t="array" ref="U270">IF($A270="","",IF($J270="No","",GetMatchingValue($XFD$9,"Original","Control Number",U$2,$A270)))</f>
        <v/>
      </c>
      <c r="V270" s="14"/>
      <c r="W270" s="17"/>
      <c r="X270" s="17"/>
      <c r="Y270" s="17"/>
      <c r="Z270" s="13"/>
      <c r="AA270" s="13"/>
      <c r="AB270" s="13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3"/>
    </row>
    <row r="271" spans="1:45" ht="40.5" customHeight="1" x14ac:dyDescent="0.2">
      <c r="A271" s="19"/>
      <c r="B271" s="19"/>
      <c r="C271" s="15"/>
      <c r="D271" s="15"/>
      <c r="E271" s="13"/>
      <c r="F271" s="34" t="str" cm="1">
        <f t="array" ref="F271">IF($A271="","",GetMatchingValue($XFD$8,"Original","Control Number",F$2,$A271))</f>
        <v/>
      </c>
      <c r="G271" s="34" t="str" cm="1">
        <f t="array" ref="G271">IF($A271="","",GetMatchingValue($XFD$8,"Original","Control Number",G$2,$A271))</f>
        <v/>
      </c>
      <c r="H271" s="34" t="str" cm="1">
        <f t="array" ref="H271">IF($A271="","",GetMatchingValue($XFD$8,"Original","Control Number",H$2,$A271))</f>
        <v/>
      </c>
      <c r="I271" s="13"/>
      <c r="J271" s="13" t="str" cm="1">
        <f t="array" ref="J271">IF($A271="","",CheckControlNumberExists($XFD$9, "Original", $A271))</f>
        <v/>
      </c>
      <c r="K271" s="34" t="str" cm="1">
        <f t="array" ref="K271">IF($A271="","",IF($J271="No","",GetMatchingValue($XFD$9,"Original","Control Number",K$2,$A271)))</f>
        <v/>
      </c>
      <c r="L271" s="34" t="str" cm="1">
        <f t="array" ref="L271">IF($A271="","",IF($J271="No","",GetMatchingValue($XFD$9,"Original","Control Number",L$2,$A271)))</f>
        <v/>
      </c>
      <c r="M271" s="13" t="str">
        <f t="shared" ca="1" si="6"/>
        <v/>
      </c>
      <c r="N271" s="16"/>
      <c r="O271" s="34" t="str" cm="1">
        <f t="array" ref="O271">IF($A271="","",IF($J271="No","",GetMatchingValue($XFD$9,"Original","Control Number",O$2,$A271)))</f>
        <v/>
      </c>
      <c r="P271" s="34" t="str" cm="1">
        <f t="array" ref="P271">IF($A271="","",IF($J271="No","",GetMatchingValue($XFD$9,"Original","Control Number",P$2,$A271)))</f>
        <v/>
      </c>
      <c r="Q271" s="34" t="str" cm="1">
        <f t="array" ref="Q271">IF($A271="","",IF($J271="No","",GetMatchingValue($XFD$9,"Original","Control Number",Q$2,$A271)))</f>
        <v/>
      </c>
      <c r="R271" s="34" t="str" cm="1">
        <f t="array" ref="R271">IF($A271="","",IF($J271="No","",GetMatchingValue($XFD$9,"Original","Control Number",R$2,$A271)))</f>
        <v/>
      </c>
      <c r="S271" s="34" t="str" cm="1">
        <f t="array" ref="S271">IF($A271="","",IF($J271="No","",GetMatchingValue($XFD$9,"Original","Control Number",S$2,$A271)))</f>
        <v/>
      </c>
      <c r="T271" s="34" t="str" cm="1">
        <f t="array" ref="T271">IF($A271="","",IF($J271="No","",GetMatchingValue($XFD$9,"Original","Control Number",T$2,$A271)))</f>
        <v/>
      </c>
      <c r="U271" s="34" t="str" cm="1">
        <f t="array" ref="U271">IF($A271="","",IF($J271="No","",GetMatchingValue($XFD$9,"Original","Control Number",U$2,$A271)))</f>
        <v/>
      </c>
      <c r="V271" s="14"/>
      <c r="W271" s="17"/>
      <c r="X271" s="17"/>
      <c r="Y271" s="17"/>
      <c r="Z271" s="13"/>
      <c r="AA271" s="13"/>
      <c r="AB271" s="13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3"/>
    </row>
    <row r="272" spans="1:45" ht="40.5" customHeight="1" x14ac:dyDescent="0.2">
      <c r="A272" s="19"/>
      <c r="B272" s="19"/>
      <c r="C272" s="15"/>
      <c r="D272" s="15"/>
      <c r="E272" s="13"/>
      <c r="F272" s="34" t="str" cm="1">
        <f t="array" ref="F272">IF($A272="","",GetMatchingValue($XFD$8,"Original","Control Number",F$2,$A272))</f>
        <v/>
      </c>
      <c r="G272" s="34" t="str" cm="1">
        <f t="array" ref="G272">IF($A272="","",GetMatchingValue($XFD$8,"Original","Control Number",G$2,$A272))</f>
        <v/>
      </c>
      <c r="H272" s="34" t="str" cm="1">
        <f t="array" ref="H272">IF($A272="","",GetMatchingValue($XFD$8,"Original","Control Number",H$2,$A272))</f>
        <v/>
      </c>
      <c r="I272" s="13"/>
      <c r="J272" s="13" t="str" cm="1">
        <f t="array" ref="J272">IF($A272="","",CheckControlNumberExists($XFD$9, "Original", $A272))</f>
        <v/>
      </c>
      <c r="K272" s="34" t="str" cm="1">
        <f t="array" ref="K272">IF($A272="","",IF($J272="No","",GetMatchingValue($XFD$9,"Original","Control Number",K$2,$A272)))</f>
        <v/>
      </c>
      <c r="L272" s="34" t="str" cm="1">
        <f t="array" ref="L272">IF($A272="","",IF($J272="No","",GetMatchingValue($XFD$9,"Original","Control Number",L$2,$A272)))</f>
        <v/>
      </c>
      <c r="M272" s="13" t="str">
        <f t="shared" ca="1" si="6"/>
        <v/>
      </c>
      <c r="N272" s="16"/>
      <c r="O272" s="34" t="str" cm="1">
        <f t="array" ref="O272">IF($A272="","",IF($J272="No","",GetMatchingValue($XFD$9,"Original","Control Number",O$2,$A272)))</f>
        <v/>
      </c>
      <c r="P272" s="34" t="str" cm="1">
        <f t="array" ref="P272">IF($A272="","",IF($J272="No","",GetMatchingValue($XFD$9,"Original","Control Number",P$2,$A272)))</f>
        <v/>
      </c>
      <c r="Q272" s="34" t="str" cm="1">
        <f t="array" ref="Q272">IF($A272="","",IF($J272="No","",GetMatchingValue($XFD$9,"Original","Control Number",Q$2,$A272)))</f>
        <v/>
      </c>
      <c r="R272" s="34" t="str" cm="1">
        <f t="array" ref="R272">IF($A272="","",IF($J272="No","",GetMatchingValue($XFD$9,"Original","Control Number",R$2,$A272)))</f>
        <v/>
      </c>
      <c r="S272" s="34" t="str" cm="1">
        <f t="array" ref="S272">IF($A272="","",IF($J272="No","",GetMatchingValue($XFD$9,"Original","Control Number",S$2,$A272)))</f>
        <v/>
      </c>
      <c r="T272" s="34" t="str" cm="1">
        <f t="array" ref="T272">IF($A272="","",IF($J272="No","",GetMatchingValue($XFD$9,"Original","Control Number",T$2,$A272)))</f>
        <v/>
      </c>
      <c r="U272" s="34" t="str" cm="1">
        <f t="array" ref="U272">IF($A272="","",IF($J272="No","",GetMatchingValue($XFD$9,"Original","Control Number",U$2,$A272)))</f>
        <v/>
      </c>
      <c r="V272" s="14"/>
      <c r="W272" s="17"/>
      <c r="X272" s="17"/>
      <c r="Y272" s="17"/>
      <c r="Z272" s="13"/>
      <c r="AA272" s="13"/>
      <c r="AB272" s="13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3"/>
    </row>
    <row r="273" spans="1:45" ht="40.5" customHeight="1" x14ac:dyDescent="0.2">
      <c r="A273" s="19"/>
      <c r="B273" s="19"/>
      <c r="C273" s="15"/>
      <c r="D273" s="15"/>
      <c r="E273" s="13"/>
      <c r="F273" s="34" t="str" cm="1">
        <f t="array" ref="F273">IF($A273="","",GetMatchingValue($XFD$8,"Original","Control Number",F$2,$A273))</f>
        <v/>
      </c>
      <c r="G273" s="34" t="str" cm="1">
        <f t="array" ref="G273">IF($A273="","",GetMatchingValue($XFD$8,"Original","Control Number",G$2,$A273))</f>
        <v/>
      </c>
      <c r="H273" s="34" t="str" cm="1">
        <f t="array" ref="H273">IF($A273="","",GetMatchingValue($XFD$8,"Original","Control Number",H$2,$A273))</f>
        <v/>
      </c>
      <c r="I273" s="13"/>
      <c r="J273" s="13" t="str" cm="1">
        <f t="array" ref="J273">IF($A273="","",CheckControlNumberExists($XFD$9, "Original", $A273))</f>
        <v/>
      </c>
      <c r="K273" s="34" t="str" cm="1">
        <f t="array" ref="K273">IF($A273="","",IF($J273="No","",GetMatchingValue($XFD$9,"Original","Control Number",K$2,$A273)))</f>
        <v/>
      </c>
      <c r="L273" s="34" t="str" cm="1">
        <f t="array" ref="L273">IF($A273="","",IF($J273="No","",GetMatchingValue($XFD$9,"Original","Control Number",L$2,$A273)))</f>
        <v/>
      </c>
      <c r="M273" s="13" t="str">
        <f t="shared" ca="1" si="6"/>
        <v/>
      </c>
      <c r="N273" s="16"/>
      <c r="O273" s="34" t="str" cm="1">
        <f t="array" ref="O273">IF($A273="","",IF($J273="No","",GetMatchingValue($XFD$9,"Original","Control Number",O$2,$A273)))</f>
        <v/>
      </c>
      <c r="P273" s="34" t="str" cm="1">
        <f t="array" ref="P273">IF($A273="","",IF($J273="No","",GetMatchingValue($XFD$9,"Original","Control Number",P$2,$A273)))</f>
        <v/>
      </c>
      <c r="Q273" s="34" t="str" cm="1">
        <f t="array" ref="Q273">IF($A273="","",IF($J273="No","",GetMatchingValue($XFD$9,"Original","Control Number",Q$2,$A273)))</f>
        <v/>
      </c>
      <c r="R273" s="34" t="str" cm="1">
        <f t="array" ref="R273">IF($A273="","",IF($J273="No","",GetMatchingValue($XFD$9,"Original","Control Number",R$2,$A273)))</f>
        <v/>
      </c>
      <c r="S273" s="34" t="str" cm="1">
        <f t="array" ref="S273">IF($A273="","",IF($J273="No","",GetMatchingValue($XFD$9,"Original","Control Number",S$2,$A273)))</f>
        <v/>
      </c>
      <c r="T273" s="34" t="str" cm="1">
        <f t="array" ref="T273">IF($A273="","",IF($J273="No","",GetMatchingValue($XFD$9,"Original","Control Number",T$2,$A273)))</f>
        <v/>
      </c>
      <c r="U273" s="34" t="str" cm="1">
        <f t="array" ref="U273">IF($A273="","",IF($J273="No","",GetMatchingValue($XFD$9,"Original","Control Number",U$2,$A273)))</f>
        <v/>
      </c>
      <c r="V273" s="14"/>
      <c r="W273" s="17"/>
      <c r="X273" s="17"/>
      <c r="Y273" s="17"/>
      <c r="Z273" s="13"/>
      <c r="AA273" s="13"/>
      <c r="AB273" s="13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3"/>
    </row>
    <row r="274" spans="1:45" ht="40.5" customHeight="1" x14ac:dyDescent="0.2">
      <c r="A274" s="19"/>
      <c r="B274" s="19"/>
      <c r="C274" s="15"/>
      <c r="D274" s="15"/>
      <c r="E274" s="13"/>
      <c r="F274" s="34" t="str" cm="1">
        <f t="array" ref="F274">IF($A274="","",GetMatchingValue($XFD$8,"Original","Control Number",F$2,$A274))</f>
        <v/>
      </c>
      <c r="G274" s="34" t="str" cm="1">
        <f t="array" ref="G274">IF($A274="","",GetMatchingValue($XFD$8,"Original","Control Number",G$2,$A274))</f>
        <v/>
      </c>
      <c r="H274" s="34" t="str" cm="1">
        <f t="array" ref="H274">IF($A274="","",GetMatchingValue($XFD$8,"Original","Control Number",H$2,$A274))</f>
        <v/>
      </c>
      <c r="I274" s="13"/>
      <c r="J274" s="13" t="str" cm="1">
        <f t="array" ref="J274">IF($A274="","",CheckControlNumberExists($XFD$9, "Original", $A274))</f>
        <v/>
      </c>
      <c r="K274" s="34" t="str" cm="1">
        <f t="array" ref="K274">IF($A274="","",IF($J274="No","",GetMatchingValue($XFD$9,"Original","Control Number",K$2,$A274)))</f>
        <v/>
      </c>
      <c r="L274" s="34" t="str" cm="1">
        <f t="array" ref="L274">IF($A274="","",IF($J274="No","",GetMatchingValue($XFD$9,"Original","Control Number",L$2,$A274)))</f>
        <v/>
      </c>
      <c r="M274" s="13" t="str">
        <f t="shared" ca="1" si="6"/>
        <v/>
      </c>
      <c r="N274" s="16"/>
      <c r="O274" s="34" t="str" cm="1">
        <f t="array" ref="O274">IF($A274="","",IF($J274="No","",GetMatchingValue($XFD$9,"Original","Control Number",O$2,$A274)))</f>
        <v/>
      </c>
      <c r="P274" s="34" t="str" cm="1">
        <f t="array" ref="P274">IF($A274="","",IF($J274="No","",GetMatchingValue($XFD$9,"Original","Control Number",P$2,$A274)))</f>
        <v/>
      </c>
      <c r="Q274" s="34" t="str" cm="1">
        <f t="array" ref="Q274">IF($A274="","",IF($J274="No","",GetMatchingValue($XFD$9,"Original","Control Number",Q$2,$A274)))</f>
        <v/>
      </c>
      <c r="R274" s="34" t="str" cm="1">
        <f t="array" ref="R274">IF($A274="","",IF($J274="No","",GetMatchingValue($XFD$9,"Original","Control Number",R$2,$A274)))</f>
        <v/>
      </c>
      <c r="S274" s="34" t="str" cm="1">
        <f t="array" ref="S274">IF($A274="","",IF($J274="No","",GetMatchingValue($XFD$9,"Original","Control Number",S$2,$A274)))</f>
        <v/>
      </c>
      <c r="T274" s="34" t="str" cm="1">
        <f t="array" ref="T274">IF($A274="","",IF($J274="No","",GetMatchingValue($XFD$9,"Original","Control Number",T$2,$A274)))</f>
        <v/>
      </c>
      <c r="U274" s="34" t="str" cm="1">
        <f t="array" ref="U274">IF($A274="","",IF($J274="No","",GetMatchingValue($XFD$9,"Original","Control Number",U$2,$A274)))</f>
        <v/>
      </c>
      <c r="V274" s="14"/>
      <c r="W274" s="17"/>
      <c r="X274" s="17"/>
      <c r="Y274" s="17"/>
      <c r="Z274" s="13"/>
      <c r="AA274" s="13"/>
      <c r="AB274" s="13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3"/>
    </row>
    <row r="275" spans="1:45" ht="40.5" customHeight="1" x14ac:dyDescent="0.2">
      <c r="A275" s="19"/>
      <c r="B275" s="19"/>
      <c r="C275" s="15"/>
      <c r="D275" s="15"/>
      <c r="E275" s="13"/>
      <c r="F275" s="34" t="str" cm="1">
        <f t="array" ref="F275">IF($A275="","",GetMatchingValue($XFD$8,"Original","Control Number",F$2,$A275))</f>
        <v/>
      </c>
      <c r="G275" s="34" t="str" cm="1">
        <f t="array" ref="G275">IF($A275="","",GetMatchingValue($XFD$8,"Original","Control Number",G$2,$A275))</f>
        <v/>
      </c>
      <c r="H275" s="34" t="str" cm="1">
        <f t="array" ref="H275">IF($A275="","",GetMatchingValue($XFD$8,"Original","Control Number",H$2,$A275))</f>
        <v/>
      </c>
      <c r="I275" s="13"/>
      <c r="J275" s="13" t="str" cm="1">
        <f t="array" ref="J275">IF($A275="","",CheckControlNumberExists($XFD$9, "Original", $A275))</f>
        <v/>
      </c>
      <c r="K275" s="34" t="str" cm="1">
        <f t="array" ref="K275">IF($A275="","",IF($J275="No","",GetMatchingValue($XFD$9,"Original","Control Number",K$2,$A275)))</f>
        <v/>
      </c>
      <c r="L275" s="34" t="str" cm="1">
        <f t="array" ref="L275">IF($A275="","",IF($J275="No","",GetMatchingValue($XFD$9,"Original","Control Number",L$2,$A275)))</f>
        <v/>
      </c>
      <c r="M275" s="13" t="str">
        <f t="shared" ca="1" si="6"/>
        <v/>
      </c>
      <c r="N275" s="16"/>
      <c r="O275" s="34" t="str" cm="1">
        <f t="array" ref="O275">IF($A275="","",IF($J275="No","",GetMatchingValue($XFD$9,"Original","Control Number",O$2,$A275)))</f>
        <v/>
      </c>
      <c r="P275" s="34" t="str" cm="1">
        <f t="array" ref="P275">IF($A275="","",IF($J275="No","",GetMatchingValue($XFD$9,"Original","Control Number",P$2,$A275)))</f>
        <v/>
      </c>
      <c r="Q275" s="34" t="str" cm="1">
        <f t="array" ref="Q275">IF($A275="","",IF($J275="No","",GetMatchingValue($XFD$9,"Original","Control Number",Q$2,$A275)))</f>
        <v/>
      </c>
      <c r="R275" s="34" t="str" cm="1">
        <f t="array" ref="R275">IF($A275="","",IF($J275="No","",GetMatchingValue($XFD$9,"Original","Control Number",R$2,$A275)))</f>
        <v/>
      </c>
      <c r="S275" s="34" t="str" cm="1">
        <f t="array" ref="S275">IF($A275="","",IF($J275="No","",GetMatchingValue($XFD$9,"Original","Control Number",S$2,$A275)))</f>
        <v/>
      </c>
      <c r="T275" s="34" t="str" cm="1">
        <f t="array" ref="T275">IF($A275="","",IF($J275="No","",GetMatchingValue($XFD$9,"Original","Control Number",T$2,$A275)))</f>
        <v/>
      </c>
      <c r="U275" s="34" t="str" cm="1">
        <f t="array" ref="U275">IF($A275="","",IF($J275="No","",GetMatchingValue($XFD$9,"Original","Control Number",U$2,$A275)))</f>
        <v/>
      </c>
      <c r="V275" s="14"/>
      <c r="W275" s="17"/>
      <c r="X275" s="17"/>
      <c r="Y275" s="17"/>
      <c r="Z275" s="13"/>
      <c r="AA275" s="13"/>
      <c r="AB275" s="13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3"/>
    </row>
    <row r="276" spans="1:45" ht="40.5" customHeight="1" x14ac:dyDescent="0.2">
      <c r="A276" s="19"/>
      <c r="B276" s="19"/>
      <c r="C276" s="15"/>
      <c r="D276" s="15"/>
      <c r="E276" s="13"/>
      <c r="F276" s="34" t="str" cm="1">
        <f t="array" ref="F276">IF($A276="","",GetMatchingValue($XFD$8,"Original","Control Number",F$2,$A276))</f>
        <v/>
      </c>
      <c r="G276" s="34" t="str" cm="1">
        <f t="array" ref="G276">IF($A276="","",GetMatchingValue($XFD$8,"Original","Control Number",G$2,$A276))</f>
        <v/>
      </c>
      <c r="H276" s="34" t="str" cm="1">
        <f t="array" ref="H276">IF($A276="","",GetMatchingValue($XFD$8,"Original","Control Number",H$2,$A276))</f>
        <v/>
      </c>
      <c r="I276" s="13"/>
      <c r="J276" s="13" t="str" cm="1">
        <f t="array" ref="J276">IF($A276="","",CheckControlNumberExists($XFD$9, "Original", $A276))</f>
        <v/>
      </c>
      <c r="K276" s="34" t="str" cm="1">
        <f t="array" ref="K276">IF($A276="","",IF($J276="No","",GetMatchingValue($XFD$9,"Original","Control Number",K$2,$A276)))</f>
        <v/>
      </c>
      <c r="L276" s="34" t="str" cm="1">
        <f t="array" ref="L276">IF($A276="","",IF($J276="No","",GetMatchingValue($XFD$9,"Original","Control Number",L$2,$A276)))</f>
        <v/>
      </c>
      <c r="M276" s="13" t="str">
        <f t="shared" ca="1" si="6"/>
        <v/>
      </c>
      <c r="N276" s="16"/>
      <c r="O276" s="34" t="str" cm="1">
        <f t="array" ref="O276">IF($A276="","",IF($J276="No","",GetMatchingValue($XFD$9,"Original","Control Number",O$2,$A276)))</f>
        <v/>
      </c>
      <c r="P276" s="34" t="str" cm="1">
        <f t="array" ref="P276">IF($A276="","",IF($J276="No","",GetMatchingValue($XFD$9,"Original","Control Number",P$2,$A276)))</f>
        <v/>
      </c>
      <c r="Q276" s="34" t="str" cm="1">
        <f t="array" ref="Q276">IF($A276="","",IF($J276="No","",GetMatchingValue($XFD$9,"Original","Control Number",Q$2,$A276)))</f>
        <v/>
      </c>
      <c r="R276" s="34" t="str" cm="1">
        <f t="array" ref="R276">IF($A276="","",IF($J276="No","",GetMatchingValue($XFD$9,"Original","Control Number",R$2,$A276)))</f>
        <v/>
      </c>
      <c r="S276" s="34" t="str" cm="1">
        <f t="array" ref="S276">IF($A276="","",IF($J276="No","",GetMatchingValue($XFD$9,"Original","Control Number",S$2,$A276)))</f>
        <v/>
      </c>
      <c r="T276" s="34" t="str" cm="1">
        <f t="array" ref="T276">IF($A276="","",IF($J276="No","",GetMatchingValue($XFD$9,"Original","Control Number",T$2,$A276)))</f>
        <v/>
      </c>
      <c r="U276" s="34" t="str" cm="1">
        <f t="array" ref="U276">IF($A276="","",IF($J276="No","",GetMatchingValue($XFD$9,"Original","Control Number",U$2,$A276)))</f>
        <v/>
      </c>
      <c r="V276" s="14"/>
      <c r="W276" s="17"/>
      <c r="X276" s="17"/>
      <c r="Y276" s="17"/>
      <c r="Z276" s="13"/>
      <c r="AA276" s="13"/>
      <c r="AB276" s="13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3"/>
    </row>
    <row r="277" spans="1:45" ht="40.5" customHeight="1" x14ac:dyDescent="0.2">
      <c r="A277" s="19"/>
      <c r="B277" s="19"/>
      <c r="C277" s="15"/>
      <c r="D277" s="15"/>
      <c r="E277" s="13"/>
      <c r="F277" s="34" t="str" cm="1">
        <f t="array" ref="F277">IF($A277="","",GetMatchingValue($XFD$8,"Original","Control Number",F$2,$A277))</f>
        <v/>
      </c>
      <c r="G277" s="34" t="str" cm="1">
        <f t="array" ref="G277">IF($A277="","",GetMatchingValue($XFD$8,"Original","Control Number",G$2,$A277))</f>
        <v/>
      </c>
      <c r="H277" s="34" t="str" cm="1">
        <f t="array" ref="H277">IF($A277="","",GetMatchingValue($XFD$8,"Original","Control Number",H$2,$A277))</f>
        <v/>
      </c>
      <c r="I277" s="13"/>
      <c r="J277" s="13" t="str" cm="1">
        <f t="array" ref="J277">IF($A277="","",CheckControlNumberExists($XFD$9, "Original", $A277))</f>
        <v/>
      </c>
      <c r="K277" s="34" t="str" cm="1">
        <f t="array" ref="K277">IF($A277="","",IF($J277="No","",GetMatchingValue($XFD$9,"Original","Control Number",K$2,$A277)))</f>
        <v/>
      </c>
      <c r="L277" s="34" t="str" cm="1">
        <f t="array" ref="L277">IF($A277="","",IF($J277="No","",GetMatchingValue($XFD$9,"Original","Control Number",L$2,$A277)))</f>
        <v/>
      </c>
      <c r="M277" s="13" t="str">
        <f t="shared" ca="1" si="6"/>
        <v/>
      </c>
      <c r="N277" s="16"/>
      <c r="O277" s="34" t="str" cm="1">
        <f t="array" ref="O277">IF($A277="","",IF($J277="No","",GetMatchingValue($XFD$9,"Original","Control Number",O$2,$A277)))</f>
        <v/>
      </c>
      <c r="P277" s="34" t="str" cm="1">
        <f t="array" ref="P277">IF($A277="","",IF($J277="No","",GetMatchingValue($XFD$9,"Original","Control Number",P$2,$A277)))</f>
        <v/>
      </c>
      <c r="Q277" s="34" t="str" cm="1">
        <f t="array" ref="Q277">IF($A277="","",IF($J277="No","",GetMatchingValue($XFD$9,"Original","Control Number",Q$2,$A277)))</f>
        <v/>
      </c>
      <c r="R277" s="34" t="str" cm="1">
        <f t="array" ref="R277">IF($A277="","",IF($J277="No","",GetMatchingValue($XFD$9,"Original","Control Number",R$2,$A277)))</f>
        <v/>
      </c>
      <c r="S277" s="34" t="str" cm="1">
        <f t="array" ref="S277">IF($A277="","",IF($J277="No","",GetMatchingValue($XFD$9,"Original","Control Number",S$2,$A277)))</f>
        <v/>
      </c>
      <c r="T277" s="34" t="str" cm="1">
        <f t="array" ref="T277">IF($A277="","",IF($J277="No","",GetMatchingValue($XFD$9,"Original","Control Number",T$2,$A277)))</f>
        <v/>
      </c>
      <c r="U277" s="34" t="str" cm="1">
        <f t="array" ref="U277">IF($A277="","",IF($J277="No","",GetMatchingValue($XFD$9,"Original","Control Number",U$2,$A277)))</f>
        <v/>
      </c>
      <c r="V277" s="14"/>
      <c r="W277" s="17"/>
      <c r="X277" s="17"/>
      <c r="Y277" s="17"/>
      <c r="Z277" s="13"/>
      <c r="AA277" s="13"/>
      <c r="AB277" s="13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3"/>
    </row>
    <row r="278" spans="1:45" ht="40.5" customHeight="1" x14ac:dyDescent="0.2">
      <c r="A278" s="19"/>
      <c r="B278" s="19"/>
      <c r="C278" s="15"/>
      <c r="D278" s="15"/>
      <c r="E278" s="13"/>
      <c r="F278" s="34" t="str" cm="1">
        <f t="array" ref="F278">IF($A278="","",GetMatchingValue($XFD$8,"Original","Control Number",F$2,$A278))</f>
        <v/>
      </c>
      <c r="G278" s="34" t="str" cm="1">
        <f t="array" ref="G278">IF($A278="","",GetMatchingValue($XFD$8,"Original","Control Number",G$2,$A278))</f>
        <v/>
      </c>
      <c r="H278" s="34" t="str" cm="1">
        <f t="array" ref="H278">IF($A278="","",GetMatchingValue($XFD$8,"Original","Control Number",H$2,$A278))</f>
        <v/>
      </c>
      <c r="I278" s="13"/>
      <c r="J278" s="13" t="str" cm="1">
        <f t="array" ref="J278">IF($A278="","",CheckControlNumberExists($XFD$9, "Original", $A278))</f>
        <v/>
      </c>
      <c r="K278" s="34" t="str" cm="1">
        <f t="array" ref="K278">IF($A278="","",IF($J278="No","",GetMatchingValue($XFD$9,"Original","Control Number",K$2,$A278)))</f>
        <v/>
      </c>
      <c r="L278" s="34" t="str" cm="1">
        <f t="array" ref="L278">IF($A278="","",IF($J278="No","",GetMatchingValue($XFD$9,"Original","Control Number",L$2,$A278)))</f>
        <v/>
      </c>
      <c r="M278" s="13" t="str">
        <f t="shared" ca="1" si="6"/>
        <v/>
      </c>
      <c r="N278" s="16"/>
      <c r="O278" s="34" t="str" cm="1">
        <f t="array" ref="O278">IF($A278="","",IF($J278="No","",GetMatchingValue($XFD$9,"Original","Control Number",O$2,$A278)))</f>
        <v/>
      </c>
      <c r="P278" s="34" t="str" cm="1">
        <f t="array" ref="P278">IF($A278="","",IF($J278="No","",GetMatchingValue($XFD$9,"Original","Control Number",P$2,$A278)))</f>
        <v/>
      </c>
      <c r="Q278" s="34" t="str" cm="1">
        <f t="array" ref="Q278">IF($A278="","",IF($J278="No","",GetMatchingValue($XFD$9,"Original","Control Number",Q$2,$A278)))</f>
        <v/>
      </c>
      <c r="R278" s="34" t="str" cm="1">
        <f t="array" ref="R278">IF($A278="","",IF($J278="No","",GetMatchingValue($XFD$9,"Original","Control Number",R$2,$A278)))</f>
        <v/>
      </c>
      <c r="S278" s="34" t="str" cm="1">
        <f t="array" ref="S278">IF($A278="","",IF($J278="No","",GetMatchingValue($XFD$9,"Original","Control Number",S$2,$A278)))</f>
        <v/>
      </c>
      <c r="T278" s="34" t="str" cm="1">
        <f t="array" ref="T278">IF($A278="","",IF($J278="No","",GetMatchingValue($XFD$9,"Original","Control Number",T$2,$A278)))</f>
        <v/>
      </c>
      <c r="U278" s="34" t="str" cm="1">
        <f t="array" ref="U278">IF($A278="","",IF($J278="No","",GetMatchingValue($XFD$9,"Original","Control Number",U$2,$A278)))</f>
        <v/>
      </c>
      <c r="V278" s="14"/>
      <c r="W278" s="17"/>
      <c r="X278" s="17"/>
      <c r="Y278" s="17"/>
      <c r="Z278" s="13"/>
      <c r="AA278" s="13"/>
      <c r="AB278" s="13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3"/>
    </row>
    <row r="279" spans="1:45" ht="40.5" customHeight="1" x14ac:dyDescent="0.2">
      <c r="A279" s="19"/>
      <c r="B279" s="19"/>
      <c r="C279" s="15"/>
      <c r="D279" s="15"/>
      <c r="E279" s="13"/>
      <c r="F279" s="34" t="str" cm="1">
        <f t="array" ref="F279">IF($A279="","",GetMatchingValue($XFD$8,"Original","Control Number",F$2,$A279))</f>
        <v/>
      </c>
      <c r="G279" s="34" t="str" cm="1">
        <f t="array" ref="G279">IF($A279="","",GetMatchingValue($XFD$8,"Original","Control Number",G$2,$A279))</f>
        <v/>
      </c>
      <c r="H279" s="34" t="str" cm="1">
        <f t="array" ref="H279">IF($A279="","",GetMatchingValue($XFD$8,"Original","Control Number",H$2,$A279))</f>
        <v/>
      </c>
      <c r="I279" s="13"/>
      <c r="J279" s="13" t="str" cm="1">
        <f t="array" ref="J279">IF($A279="","",CheckControlNumberExists($XFD$9, "Original", $A279))</f>
        <v/>
      </c>
      <c r="K279" s="34" t="str" cm="1">
        <f t="array" ref="K279">IF($A279="","",IF($J279="No","",GetMatchingValue($XFD$9,"Original","Control Number",K$2,$A279)))</f>
        <v/>
      </c>
      <c r="L279" s="34" t="str" cm="1">
        <f t="array" ref="L279">IF($A279="","",IF($J279="No","",GetMatchingValue($XFD$9,"Original","Control Number",L$2,$A279)))</f>
        <v/>
      </c>
      <c r="M279" s="13" t="str">
        <f t="shared" ca="1" si="6"/>
        <v/>
      </c>
      <c r="N279" s="16"/>
      <c r="O279" s="34" t="str" cm="1">
        <f t="array" ref="O279">IF($A279="","",IF($J279="No","",GetMatchingValue($XFD$9,"Original","Control Number",O$2,$A279)))</f>
        <v/>
      </c>
      <c r="P279" s="34" t="str" cm="1">
        <f t="array" ref="P279">IF($A279="","",IF($J279="No","",GetMatchingValue($XFD$9,"Original","Control Number",P$2,$A279)))</f>
        <v/>
      </c>
      <c r="Q279" s="34" t="str" cm="1">
        <f t="array" ref="Q279">IF($A279="","",IF($J279="No","",GetMatchingValue($XFD$9,"Original","Control Number",Q$2,$A279)))</f>
        <v/>
      </c>
      <c r="R279" s="34" t="str" cm="1">
        <f t="array" ref="R279">IF($A279="","",IF($J279="No","",GetMatchingValue($XFD$9,"Original","Control Number",R$2,$A279)))</f>
        <v/>
      </c>
      <c r="S279" s="34" t="str" cm="1">
        <f t="array" ref="S279">IF($A279="","",IF($J279="No","",GetMatchingValue($XFD$9,"Original","Control Number",S$2,$A279)))</f>
        <v/>
      </c>
      <c r="T279" s="34" t="str" cm="1">
        <f t="array" ref="T279">IF($A279="","",IF($J279="No","",GetMatchingValue($XFD$9,"Original","Control Number",T$2,$A279)))</f>
        <v/>
      </c>
      <c r="U279" s="34" t="str" cm="1">
        <f t="array" ref="U279">IF($A279="","",IF($J279="No","",GetMatchingValue($XFD$9,"Original","Control Number",U$2,$A279)))</f>
        <v/>
      </c>
      <c r="V279" s="14"/>
      <c r="W279" s="17"/>
      <c r="X279" s="17"/>
      <c r="Y279" s="17"/>
      <c r="Z279" s="13"/>
      <c r="AA279" s="13"/>
      <c r="AB279" s="13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3"/>
    </row>
    <row r="280" spans="1:45" ht="40.5" customHeight="1" x14ac:dyDescent="0.2">
      <c r="A280" s="19"/>
      <c r="B280" s="19"/>
      <c r="C280" s="15"/>
      <c r="D280" s="15"/>
      <c r="E280" s="13"/>
      <c r="F280" s="34" t="str" cm="1">
        <f t="array" ref="F280">IF($A280="","",GetMatchingValue($XFD$8,"Original","Control Number",F$2,$A280))</f>
        <v/>
      </c>
      <c r="G280" s="34" t="str" cm="1">
        <f t="array" ref="G280">IF($A280="","",GetMatchingValue($XFD$8,"Original","Control Number",G$2,$A280))</f>
        <v/>
      </c>
      <c r="H280" s="34" t="str" cm="1">
        <f t="array" ref="H280">IF($A280="","",GetMatchingValue($XFD$8,"Original","Control Number",H$2,$A280))</f>
        <v/>
      </c>
      <c r="I280" s="13"/>
      <c r="J280" s="13" t="str" cm="1">
        <f t="array" ref="J280">IF($A280="","",CheckControlNumberExists($XFD$9, "Original", $A280))</f>
        <v/>
      </c>
      <c r="K280" s="34" t="str" cm="1">
        <f t="array" ref="K280">IF($A280="","",IF($J280="No","",GetMatchingValue($XFD$9,"Original","Control Number",K$2,$A280)))</f>
        <v/>
      </c>
      <c r="L280" s="34" t="str" cm="1">
        <f t="array" ref="L280">IF($A280="","",IF($J280="No","",GetMatchingValue($XFD$9,"Original","Control Number",L$2,$A280)))</f>
        <v/>
      </c>
      <c r="M280" s="13" t="str">
        <f t="shared" ca="1" si="6"/>
        <v/>
      </c>
      <c r="N280" s="16"/>
      <c r="O280" s="34" t="str" cm="1">
        <f t="array" ref="O280">IF($A280="","",IF($J280="No","",GetMatchingValue($XFD$9,"Original","Control Number",O$2,$A280)))</f>
        <v/>
      </c>
      <c r="P280" s="34" t="str" cm="1">
        <f t="array" ref="P280">IF($A280="","",IF($J280="No","",GetMatchingValue($XFD$9,"Original","Control Number",P$2,$A280)))</f>
        <v/>
      </c>
      <c r="Q280" s="34" t="str" cm="1">
        <f t="array" ref="Q280">IF($A280="","",IF($J280="No","",GetMatchingValue($XFD$9,"Original","Control Number",Q$2,$A280)))</f>
        <v/>
      </c>
      <c r="R280" s="34" t="str" cm="1">
        <f t="array" ref="R280">IF($A280="","",IF($J280="No","",GetMatchingValue($XFD$9,"Original","Control Number",R$2,$A280)))</f>
        <v/>
      </c>
      <c r="S280" s="34" t="str" cm="1">
        <f t="array" ref="S280">IF($A280="","",IF($J280="No","",GetMatchingValue($XFD$9,"Original","Control Number",S$2,$A280)))</f>
        <v/>
      </c>
      <c r="T280" s="34" t="str" cm="1">
        <f t="array" ref="T280">IF($A280="","",IF($J280="No","",GetMatchingValue($XFD$9,"Original","Control Number",T$2,$A280)))</f>
        <v/>
      </c>
      <c r="U280" s="34" t="str" cm="1">
        <f t="array" ref="U280">IF($A280="","",IF($J280="No","",GetMatchingValue($XFD$9,"Original","Control Number",U$2,$A280)))</f>
        <v/>
      </c>
      <c r="V280" s="14"/>
      <c r="W280" s="17"/>
      <c r="X280" s="17"/>
      <c r="Y280" s="17"/>
      <c r="Z280" s="13"/>
      <c r="AA280" s="13"/>
      <c r="AB280" s="13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3"/>
    </row>
    <row r="281" spans="1:45" ht="40.5" customHeight="1" x14ac:dyDescent="0.2">
      <c r="A281" s="19"/>
      <c r="B281" s="19"/>
      <c r="C281" s="15"/>
      <c r="D281" s="15"/>
      <c r="E281" s="13"/>
      <c r="F281" s="34" t="str" cm="1">
        <f t="array" ref="F281">IF($A281="","",GetMatchingValue($XFD$8,"Original","Control Number",F$2,$A281))</f>
        <v/>
      </c>
      <c r="G281" s="34" t="str" cm="1">
        <f t="array" ref="G281">IF($A281="","",GetMatchingValue($XFD$8,"Original","Control Number",G$2,$A281))</f>
        <v/>
      </c>
      <c r="H281" s="34" t="str" cm="1">
        <f t="array" ref="H281">IF($A281="","",GetMatchingValue($XFD$8,"Original","Control Number",H$2,$A281))</f>
        <v/>
      </c>
      <c r="I281" s="13"/>
      <c r="J281" s="13" t="str" cm="1">
        <f t="array" ref="J281">IF($A281="","",CheckControlNumberExists($XFD$9, "Original", $A281))</f>
        <v/>
      </c>
      <c r="K281" s="34" t="str" cm="1">
        <f t="array" ref="K281">IF($A281="","",IF($J281="No","",GetMatchingValue($XFD$9,"Original","Control Number",K$2,$A281)))</f>
        <v/>
      </c>
      <c r="L281" s="34" t="str" cm="1">
        <f t="array" ref="L281">IF($A281="","",IF($J281="No","",GetMatchingValue($XFD$9,"Original","Control Number",L$2,$A281)))</f>
        <v/>
      </c>
      <c r="M281" s="13" t="str">
        <f t="shared" ca="1" si="6"/>
        <v/>
      </c>
      <c r="N281" s="16"/>
      <c r="O281" s="34" t="str" cm="1">
        <f t="array" ref="O281">IF($A281="","",IF($J281="No","",GetMatchingValue($XFD$9,"Original","Control Number",O$2,$A281)))</f>
        <v/>
      </c>
      <c r="P281" s="34" t="str" cm="1">
        <f t="array" ref="P281">IF($A281="","",IF($J281="No","",GetMatchingValue($XFD$9,"Original","Control Number",P$2,$A281)))</f>
        <v/>
      </c>
      <c r="Q281" s="34" t="str" cm="1">
        <f t="array" ref="Q281">IF($A281="","",IF($J281="No","",GetMatchingValue($XFD$9,"Original","Control Number",Q$2,$A281)))</f>
        <v/>
      </c>
      <c r="R281" s="34" t="str" cm="1">
        <f t="array" ref="R281">IF($A281="","",IF($J281="No","",GetMatchingValue($XFD$9,"Original","Control Number",R$2,$A281)))</f>
        <v/>
      </c>
      <c r="S281" s="34" t="str" cm="1">
        <f t="array" ref="S281">IF($A281="","",IF($J281="No","",GetMatchingValue($XFD$9,"Original","Control Number",S$2,$A281)))</f>
        <v/>
      </c>
      <c r="T281" s="34" t="str" cm="1">
        <f t="array" ref="T281">IF($A281="","",IF($J281="No","",GetMatchingValue($XFD$9,"Original","Control Number",T$2,$A281)))</f>
        <v/>
      </c>
      <c r="U281" s="34" t="str" cm="1">
        <f t="array" ref="U281">IF($A281="","",IF($J281="No","",GetMatchingValue($XFD$9,"Original","Control Number",U$2,$A281)))</f>
        <v/>
      </c>
      <c r="V281" s="14"/>
      <c r="W281" s="17"/>
      <c r="X281" s="17"/>
      <c r="Y281" s="17"/>
      <c r="Z281" s="13"/>
      <c r="AA281" s="13"/>
      <c r="AB281" s="13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3"/>
    </row>
    <row r="282" spans="1:45" ht="40.5" customHeight="1" x14ac:dyDescent="0.2">
      <c r="A282" s="19"/>
      <c r="B282" s="19"/>
      <c r="C282" s="15"/>
      <c r="D282" s="15"/>
      <c r="E282" s="13"/>
      <c r="F282" s="34" t="str" cm="1">
        <f t="array" ref="F282">IF($A282="","",GetMatchingValue($XFD$8,"Original","Control Number",F$2,$A282))</f>
        <v/>
      </c>
      <c r="G282" s="34" t="str" cm="1">
        <f t="array" ref="G282">IF($A282="","",GetMatchingValue($XFD$8,"Original","Control Number",G$2,$A282))</f>
        <v/>
      </c>
      <c r="H282" s="34" t="str" cm="1">
        <f t="array" ref="H282">IF($A282="","",GetMatchingValue($XFD$8,"Original","Control Number",H$2,$A282))</f>
        <v/>
      </c>
      <c r="I282" s="13"/>
      <c r="J282" s="13" t="str" cm="1">
        <f t="array" ref="J282">IF($A282="","",CheckControlNumberExists($XFD$9, "Original", $A282))</f>
        <v/>
      </c>
      <c r="K282" s="34" t="str" cm="1">
        <f t="array" ref="K282">IF($A282="","",IF($J282="No","",GetMatchingValue($XFD$9,"Original","Control Number",K$2,$A282)))</f>
        <v/>
      </c>
      <c r="L282" s="34" t="str" cm="1">
        <f t="array" ref="L282">IF($A282="","",IF($J282="No","",GetMatchingValue($XFD$9,"Original","Control Number",L$2,$A282)))</f>
        <v/>
      </c>
      <c r="M282" s="13" t="str">
        <f t="shared" ca="1" si="6"/>
        <v/>
      </c>
      <c r="N282" s="16"/>
      <c r="O282" s="34" t="str" cm="1">
        <f t="array" ref="O282">IF($A282="","",IF($J282="No","",GetMatchingValue($XFD$9,"Original","Control Number",O$2,$A282)))</f>
        <v/>
      </c>
      <c r="P282" s="34" t="str" cm="1">
        <f t="array" ref="P282">IF($A282="","",IF($J282="No","",GetMatchingValue($XFD$9,"Original","Control Number",P$2,$A282)))</f>
        <v/>
      </c>
      <c r="Q282" s="34" t="str" cm="1">
        <f t="array" ref="Q282">IF($A282="","",IF($J282="No","",GetMatchingValue($XFD$9,"Original","Control Number",Q$2,$A282)))</f>
        <v/>
      </c>
      <c r="R282" s="34" t="str" cm="1">
        <f t="array" ref="R282">IF($A282="","",IF($J282="No","",GetMatchingValue($XFD$9,"Original","Control Number",R$2,$A282)))</f>
        <v/>
      </c>
      <c r="S282" s="34" t="str" cm="1">
        <f t="array" ref="S282">IF($A282="","",IF($J282="No","",GetMatchingValue($XFD$9,"Original","Control Number",S$2,$A282)))</f>
        <v/>
      </c>
      <c r="T282" s="34" t="str" cm="1">
        <f t="array" ref="T282">IF($A282="","",IF($J282="No","",GetMatchingValue($XFD$9,"Original","Control Number",T$2,$A282)))</f>
        <v/>
      </c>
      <c r="U282" s="34" t="str" cm="1">
        <f t="array" ref="U282">IF($A282="","",IF($J282="No","",GetMatchingValue($XFD$9,"Original","Control Number",U$2,$A282)))</f>
        <v/>
      </c>
      <c r="V282" s="14"/>
      <c r="W282" s="17"/>
      <c r="X282" s="17"/>
      <c r="Y282" s="17"/>
      <c r="Z282" s="13"/>
      <c r="AA282" s="13"/>
      <c r="AB282" s="13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3"/>
    </row>
    <row r="283" spans="1:45" ht="40.5" customHeight="1" x14ac:dyDescent="0.2">
      <c r="A283" s="19"/>
      <c r="B283" s="19"/>
      <c r="C283" s="15"/>
      <c r="D283" s="15"/>
      <c r="E283" s="13"/>
      <c r="F283" s="34" t="str" cm="1">
        <f t="array" ref="F283">IF($A283="","",GetMatchingValue($XFD$8,"Original","Control Number",F$2,$A283))</f>
        <v/>
      </c>
      <c r="G283" s="34" t="str" cm="1">
        <f t="array" ref="G283">IF($A283="","",GetMatchingValue($XFD$8,"Original","Control Number",G$2,$A283))</f>
        <v/>
      </c>
      <c r="H283" s="34" t="str" cm="1">
        <f t="array" ref="H283">IF($A283="","",GetMatchingValue($XFD$8,"Original","Control Number",H$2,$A283))</f>
        <v/>
      </c>
      <c r="I283" s="13"/>
      <c r="J283" s="13" t="str" cm="1">
        <f t="array" ref="J283">IF($A283="","",CheckControlNumberExists($XFD$9, "Original", $A283))</f>
        <v/>
      </c>
      <c r="K283" s="34" t="str" cm="1">
        <f t="array" ref="K283">IF($A283="","",IF($J283="No","",GetMatchingValue($XFD$9,"Original","Control Number",K$2,$A283)))</f>
        <v/>
      </c>
      <c r="L283" s="34" t="str" cm="1">
        <f t="array" ref="L283">IF($A283="","",IF($J283="No","",GetMatchingValue($XFD$9,"Original","Control Number",L$2,$A283)))</f>
        <v/>
      </c>
      <c r="M283" s="13" t="str">
        <f t="shared" ca="1" si="6"/>
        <v/>
      </c>
      <c r="N283" s="16"/>
      <c r="O283" s="34" t="str" cm="1">
        <f t="array" ref="O283">IF($A283="","",IF($J283="No","",GetMatchingValue($XFD$9,"Original","Control Number",O$2,$A283)))</f>
        <v/>
      </c>
      <c r="P283" s="34" t="str" cm="1">
        <f t="array" ref="P283">IF($A283="","",IF($J283="No","",GetMatchingValue($XFD$9,"Original","Control Number",P$2,$A283)))</f>
        <v/>
      </c>
      <c r="Q283" s="34" t="str" cm="1">
        <f t="array" ref="Q283">IF($A283="","",IF($J283="No","",GetMatchingValue($XFD$9,"Original","Control Number",Q$2,$A283)))</f>
        <v/>
      </c>
      <c r="R283" s="34" t="str" cm="1">
        <f t="array" ref="R283">IF($A283="","",IF($J283="No","",GetMatchingValue($XFD$9,"Original","Control Number",R$2,$A283)))</f>
        <v/>
      </c>
      <c r="S283" s="34" t="str" cm="1">
        <f t="array" ref="S283">IF($A283="","",IF($J283="No","",GetMatchingValue($XFD$9,"Original","Control Number",S$2,$A283)))</f>
        <v/>
      </c>
      <c r="T283" s="34" t="str" cm="1">
        <f t="array" ref="T283">IF($A283="","",IF($J283="No","",GetMatchingValue($XFD$9,"Original","Control Number",T$2,$A283)))</f>
        <v/>
      </c>
      <c r="U283" s="34" t="str" cm="1">
        <f t="array" ref="U283">IF($A283="","",IF($J283="No","",GetMatchingValue($XFD$9,"Original","Control Number",U$2,$A283)))</f>
        <v/>
      </c>
      <c r="V283" s="14"/>
      <c r="W283" s="17"/>
      <c r="X283" s="17"/>
      <c r="Y283" s="17"/>
      <c r="Z283" s="13"/>
      <c r="AA283" s="13"/>
      <c r="AB283" s="13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3"/>
    </row>
    <row r="284" spans="1:45" ht="40.5" customHeight="1" x14ac:dyDescent="0.2">
      <c r="A284" s="19"/>
      <c r="B284" s="19"/>
      <c r="C284" s="15"/>
      <c r="D284" s="15"/>
      <c r="E284" s="13"/>
      <c r="F284" s="34" t="str" cm="1">
        <f t="array" ref="F284">IF($A284="","",GetMatchingValue($XFD$8,"Original","Control Number",F$2,$A284))</f>
        <v/>
      </c>
      <c r="G284" s="34" t="str" cm="1">
        <f t="array" ref="G284">IF($A284="","",GetMatchingValue($XFD$8,"Original","Control Number",G$2,$A284))</f>
        <v/>
      </c>
      <c r="H284" s="34" t="str" cm="1">
        <f t="array" ref="H284">IF($A284="","",GetMatchingValue($XFD$8,"Original","Control Number",H$2,$A284))</f>
        <v/>
      </c>
      <c r="I284" s="13"/>
      <c r="J284" s="13" t="str" cm="1">
        <f t="array" ref="J284">IF($A284="","",CheckControlNumberExists($XFD$9, "Original", $A284))</f>
        <v/>
      </c>
      <c r="K284" s="34" t="str" cm="1">
        <f t="array" ref="K284">IF($A284="","",IF($J284="No","",GetMatchingValue($XFD$9,"Original","Control Number",K$2,$A284)))</f>
        <v/>
      </c>
      <c r="L284" s="34" t="str" cm="1">
        <f t="array" ref="L284">IF($A284="","",IF($J284="No","",GetMatchingValue($XFD$9,"Original","Control Number",L$2,$A284)))</f>
        <v/>
      </c>
      <c r="M284" s="13" t="str">
        <f t="shared" ca="1" si="6"/>
        <v/>
      </c>
      <c r="N284" s="16"/>
      <c r="O284" s="34" t="str" cm="1">
        <f t="array" ref="O284">IF($A284="","",IF($J284="No","",GetMatchingValue($XFD$9,"Original","Control Number",O$2,$A284)))</f>
        <v/>
      </c>
      <c r="P284" s="34" t="str" cm="1">
        <f t="array" ref="P284">IF($A284="","",IF($J284="No","",GetMatchingValue($XFD$9,"Original","Control Number",P$2,$A284)))</f>
        <v/>
      </c>
      <c r="Q284" s="34" t="str" cm="1">
        <f t="array" ref="Q284">IF($A284="","",IF($J284="No","",GetMatchingValue($XFD$9,"Original","Control Number",Q$2,$A284)))</f>
        <v/>
      </c>
      <c r="R284" s="34" t="str" cm="1">
        <f t="array" ref="R284">IF($A284="","",IF($J284="No","",GetMatchingValue($XFD$9,"Original","Control Number",R$2,$A284)))</f>
        <v/>
      </c>
      <c r="S284" s="34" t="str" cm="1">
        <f t="array" ref="S284">IF($A284="","",IF($J284="No","",GetMatchingValue($XFD$9,"Original","Control Number",S$2,$A284)))</f>
        <v/>
      </c>
      <c r="T284" s="34" t="str" cm="1">
        <f t="array" ref="T284">IF($A284="","",IF($J284="No","",GetMatchingValue($XFD$9,"Original","Control Number",T$2,$A284)))</f>
        <v/>
      </c>
      <c r="U284" s="34" t="str" cm="1">
        <f t="array" ref="U284">IF($A284="","",IF($J284="No","",GetMatchingValue($XFD$9,"Original","Control Number",U$2,$A284)))</f>
        <v/>
      </c>
      <c r="V284" s="14"/>
      <c r="W284" s="17"/>
      <c r="X284" s="17"/>
      <c r="Y284" s="17"/>
      <c r="Z284" s="13"/>
      <c r="AA284" s="13"/>
      <c r="AB284" s="13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3"/>
    </row>
    <row r="285" spans="1:45" ht="40.5" customHeight="1" x14ac:dyDescent="0.2">
      <c r="A285" s="19"/>
      <c r="B285" s="19"/>
      <c r="C285" s="15"/>
      <c r="D285" s="15"/>
      <c r="E285" s="13"/>
      <c r="F285" s="34" t="str" cm="1">
        <f t="array" ref="F285">IF($A285="","",GetMatchingValue($XFD$8,"Original","Control Number",F$2,$A285))</f>
        <v/>
      </c>
      <c r="G285" s="34" t="str" cm="1">
        <f t="array" ref="G285">IF($A285="","",GetMatchingValue($XFD$8,"Original","Control Number",G$2,$A285))</f>
        <v/>
      </c>
      <c r="H285" s="34" t="str" cm="1">
        <f t="array" ref="H285">IF($A285="","",GetMatchingValue($XFD$8,"Original","Control Number",H$2,$A285))</f>
        <v/>
      </c>
      <c r="I285" s="13"/>
      <c r="J285" s="13" t="str" cm="1">
        <f t="array" ref="J285">IF($A285="","",CheckControlNumberExists($XFD$9, "Original", $A285))</f>
        <v/>
      </c>
      <c r="K285" s="34" t="str" cm="1">
        <f t="array" ref="K285">IF($A285="","",IF($J285="No","",GetMatchingValue($XFD$9,"Original","Control Number",K$2,$A285)))</f>
        <v/>
      </c>
      <c r="L285" s="34" t="str" cm="1">
        <f t="array" ref="L285">IF($A285="","",IF($J285="No","",GetMatchingValue($XFD$9,"Original","Control Number",L$2,$A285)))</f>
        <v/>
      </c>
      <c r="M285" s="13" t="str">
        <f t="shared" ca="1" si="6"/>
        <v/>
      </c>
      <c r="N285" s="16"/>
      <c r="O285" s="34" t="str" cm="1">
        <f t="array" ref="O285">IF($A285="","",IF($J285="No","",GetMatchingValue($XFD$9,"Original","Control Number",O$2,$A285)))</f>
        <v/>
      </c>
      <c r="P285" s="34" t="str" cm="1">
        <f t="array" ref="P285">IF($A285="","",IF($J285="No","",GetMatchingValue($XFD$9,"Original","Control Number",P$2,$A285)))</f>
        <v/>
      </c>
      <c r="Q285" s="34" t="str" cm="1">
        <f t="array" ref="Q285">IF($A285="","",IF($J285="No","",GetMatchingValue($XFD$9,"Original","Control Number",Q$2,$A285)))</f>
        <v/>
      </c>
      <c r="R285" s="34" t="str" cm="1">
        <f t="array" ref="R285">IF($A285="","",IF($J285="No","",GetMatchingValue($XFD$9,"Original","Control Number",R$2,$A285)))</f>
        <v/>
      </c>
      <c r="S285" s="34" t="str" cm="1">
        <f t="array" ref="S285">IF($A285="","",IF($J285="No","",GetMatchingValue($XFD$9,"Original","Control Number",S$2,$A285)))</f>
        <v/>
      </c>
      <c r="T285" s="34" t="str" cm="1">
        <f t="array" ref="T285">IF($A285="","",IF($J285="No","",GetMatchingValue($XFD$9,"Original","Control Number",T$2,$A285)))</f>
        <v/>
      </c>
      <c r="U285" s="34" t="str" cm="1">
        <f t="array" ref="U285">IF($A285="","",IF($J285="No","",GetMatchingValue($XFD$9,"Original","Control Number",U$2,$A285)))</f>
        <v/>
      </c>
      <c r="V285" s="14"/>
      <c r="W285" s="17"/>
      <c r="X285" s="17"/>
      <c r="Y285" s="17"/>
      <c r="Z285" s="13"/>
      <c r="AA285" s="13"/>
      <c r="AB285" s="13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3"/>
    </row>
    <row r="286" spans="1:45" ht="40.5" customHeight="1" x14ac:dyDescent="0.2">
      <c r="A286" s="19"/>
      <c r="B286" s="19"/>
      <c r="C286" s="15"/>
      <c r="D286" s="15"/>
      <c r="E286" s="13"/>
      <c r="F286" s="34" t="str" cm="1">
        <f t="array" ref="F286">IF($A286="","",GetMatchingValue($XFD$8,"Original","Control Number",F$2,$A286))</f>
        <v/>
      </c>
      <c r="G286" s="34" t="str" cm="1">
        <f t="array" ref="G286">IF($A286="","",GetMatchingValue($XFD$8,"Original","Control Number",G$2,$A286))</f>
        <v/>
      </c>
      <c r="H286" s="34" t="str" cm="1">
        <f t="array" ref="H286">IF($A286="","",GetMatchingValue($XFD$8,"Original","Control Number",H$2,$A286))</f>
        <v/>
      </c>
      <c r="I286" s="13"/>
      <c r="J286" s="13" t="str" cm="1">
        <f t="array" ref="J286">IF($A286="","",CheckControlNumberExists($XFD$9, "Original", $A286))</f>
        <v/>
      </c>
      <c r="K286" s="34" t="str" cm="1">
        <f t="array" ref="K286">IF($A286="","",IF($J286="No","",GetMatchingValue($XFD$9,"Original","Control Number",K$2,$A286)))</f>
        <v/>
      </c>
      <c r="L286" s="34" t="str" cm="1">
        <f t="array" ref="L286">IF($A286="","",IF($J286="No","",GetMatchingValue($XFD$9,"Original","Control Number",L$2,$A286)))</f>
        <v/>
      </c>
      <c r="M286" s="13" t="str">
        <f t="shared" ca="1" si="6"/>
        <v/>
      </c>
      <c r="N286" s="16"/>
      <c r="O286" s="34" t="str" cm="1">
        <f t="array" ref="O286">IF($A286="","",IF($J286="No","",GetMatchingValue($XFD$9,"Original","Control Number",O$2,$A286)))</f>
        <v/>
      </c>
      <c r="P286" s="34" t="str" cm="1">
        <f t="array" ref="P286">IF($A286="","",IF($J286="No","",GetMatchingValue($XFD$9,"Original","Control Number",P$2,$A286)))</f>
        <v/>
      </c>
      <c r="Q286" s="34" t="str" cm="1">
        <f t="array" ref="Q286">IF($A286="","",IF($J286="No","",GetMatchingValue($XFD$9,"Original","Control Number",Q$2,$A286)))</f>
        <v/>
      </c>
      <c r="R286" s="34" t="str" cm="1">
        <f t="array" ref="R286">IF($A286="","",IF($J286="No","",GetMatchingValue($XFD$9,"Original","Control Number",R$2,$A286)))</f>
        <v/>
      </c>
      <c r="S286" s="34" t="str" cm="1">
        <f t="array" ref="S286">IF($A286="","",IF($J286="No","",GetMatchingValue($XFD$9,"Original","Control Number",S$2,$A286)))</f>
        <v/>
      </c>
      <c r="T286" s="34" t="str" cm="1">
        <f t="array" ref="T286">IF($A286="","",IF($J286="No","",GetMatchingValue($XFD$9,"Original","Control Number",T$2,$A286)))</f>
        <v/>
      </c>
      <c r="U286" s="34" t="str" cm="1">
        <f t="array" ref="U286">IF($A286="","",IF($J286="No","",GetMatchingValue($XFD$9,"Original","Control Number",U$2,$A286)))</f>
        <v/>
      </c>
      <c r="V286" s="14"/>
      <c r="W286" s="17"/>
      <c r="X286" s="17"/>
      <c r="Y286" s="17"/>
      <c r="Z286" s="13"/>
      <c r="AA286" s="13"/>
      <c r="AB286" s="13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3"/>
    </row>
    <row r="287" spans="1:45" ht="40.5" customHeight="1" x14ac:dyDescent="0.2">
      <c r="A287" s="19"/>
      <c r="B287" s="19"/>
      <c r="C287" s="15"/>
      <c r="D287" s="15"/>
      <c r="E287" s="13"/>
      <c r="F287" s="34" t="str" cm="1">
        <f t="array" ref="F287">IF($A287="","",GetMatchingValue($XFD$8,"Original","Control Number",F$2,$A287))</f>
        <v/>
      </c>
      <c r="G287" s="34" t="str" cm="1">
        <f t="array" ref="G287">IF($A287="","",GetMatchingValue($XFD$8,"Original","Control Number",G$2,$A287))</f>
        <v/>
      </c>
      <c r="H287" s="34" t="str" cm="1">
        <f t="array" ref="H287">IF($A287="","",GetMatchingValue($XFD$8,"Original","Control Number",H$2,$A287))</f>
        <v/>
      </c>
      <c r="I287" s="13"/>
      <c r="J287" s="13" t="str" cm="1">
        <f t="array" ref="J287">IF($A287="","",CheckControlNumberExists($XFD$9, "Original", $A287))</f>
        <v/>
      </c>
      <c r="K287" s="34" t="str" cm="1">
        <f t="array" ref="K287">IF($A287="","",IF($J287="No","",GetMatchingValue($XFD$9,"Original","Control Number",K$2,$A287)))</f>
        <v/>
      </c>
      <c r="L287" s="34" t="str" cm="1">
        <f t="array" ref="L287">IF($A287="","",IF($J287="No","",GetMatchingValue($XFD$9,"Original","Control Number",L$2,$A287)))</f>
        <v/>
      </c>
      <c r="M287" s="13" t="str">
        <f t="shared" ca="1" si="6"/>
        <v/>
      </c>
      <c r="N287" s="16"/>
      <c r="O287" s="34" t="str" cm="1">
        <f t="array" ref="O287">IF($A287="","",IF($J287="No","",GetMatchingValue($XFD$9,"Original","Control Number",O$2,$A287)))</f>
        <v/>
      </c>
      <c r="P287" s="34" t="str" cm="1">
        <f t="array" ref="P287">IF($A287="","",IF($J287="No","",GetMatchingValue($XFD$9,"Original","Control Number",P$2,$A287)))</f>
        <v/>
      </c>
      <c r="Q287" s="34" t="str" cm="1">
        <f t="array" ref="Q287">IF($A287="","",IF($J287="No","",GetMatchingValue($XFD$9,"Original","Control Number",Q$2,$A287)))</f>
        <v/>
      </c>
      <c r="R287" s="34" t="str" cm="1">
        <f t="array" ref="R287">IF($A287="","",IF($J287="No","",GetMatchingValue($XFD$9,"Original","Control Number",R$2,$A287)))</f>
        <v/>
      </c>
      <c r="S287" s="34" t="str" cm="1">
        <f t="array" ref="S287">IF($A287="","",IF($J287="No","",GetMatchingValue($XFD$9,"Original","Control Number",S$2,$A287)))</f>
        <v/>
      </c>
      <c r="T287" s="34" t="str" cm="1">
        <f t="array" ref="T287">IF($A287="","",IF($J287="No","",GetMatchingValue($XFD$9,"Original","Control Number",T$2,$A287)))</f>
        <v/>
      </c>
      <c r="U287" s="34" t="str" cm="1">
        <f t="array" ref="U287">IF($A287="","",IF($J287="No","",GetMatchingValue($XFD$9,"Original","Control Number",U$2,$A287)))</f>
        <v/>
      </c>
      <c r="V287" s="14"/>
      <c r="W287" s="17"/>
      <c r="X287" s="17"/>
      <c r="Y287" s="17"/>
      <c r="Z287" s="13"/>
      <c r="AA287" s="13"/>
      <c r="AB287" s="13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3"/>
    </row>
    <row r="288" spans="1:45" ht="40.5" customHeight="1" x14ac:dyDescent="0.2">
      <c r="A288" s="19"/>
      <c r="B288" s="19"/>
      <c r="C288" s="15"/>
      <c r="D288" s="15"/>
      <c r="E288" s="13"/>
      <c r="F288" s="34" t="str" cm="1">
        <f t="array" ref="F288">IF($A288="","",GetMatchingValue($XFD$8,"Original","Control Number",F$2,$A288))</f>
        <v/>
      </c>
      <c r="G288" s="34" t="str" cm="1">
        <f t="array" ref="G288">IF($A288="","",GetMatchingValue($XFD$8,"Original","Control Number",G$2,$A288))</f>
        <v/>
      </c>
      <c r="H288" s="34" t="str" cm="1">
        <f t="array" ref="H288">IF($A288="","",GetMatchingValue($XFD$8,"Original","Control Number",H$2,$A288))</f>
        <v/>
      </c>
      <c r="I288" s="13"/>
      <c r="J288" s="13" t="str" cm="1">
        <f t="array" ref="J288">IF($A288="","",CheckControlNumberExists($XFD$9, "Original", $A288))</f>
        <v/>
      </c>
      <c r="K288" s="34" t="str" cm="1">
        <f t="array" ref="K288">IF($A288="","",IF($J288="No","",GetMatchingValue($XFD$9,"Original","Control Number",K$2,$A288)))</f>
        <v/>
      </c>
      <c r="L288" s="34" t="str" cm="1">
        <f t="array" ref="L288">IF($A288="","",IF($J288="No","",GetMatchingValue($XFD$9,"Original","Control Number",L$2,$A288)))</f>
        <v/>
      </c>
      <c r="M288" s="13" t="str">
        <f t="shared" ca="1" si="6"/>
        <v/>
      </c>
      <c r="N288" s="16"/>
      <c r="O288" s="34" t="str" cm="1">
        <f t="array" ref="O288">IF($A288="","",IF($J288="No","",GetMatchingValue($XFD$9,"Original","Control Number",O$2,$A288)))</f>
        <v/>
      </c>
      <c r="P288" s="34" t="str" cm="1">
        <f t="array" ref="P288">IF($A288="","",IF($J288="No","",GetMatchingValue($XFD$9,"Original","Control Number",P$2,$A288)))</f>
        <v/>
      </c>
      <c r="Q288" s="34" t="str" cm="1">
        <f t="array" ref="Q288">IF($A288="","",IF($J288="No","",GetMatchingValue($XFD$9,"Original","Control Number",Q$2,$A288)))</f>
        <v/>
      </c>
      <c r="R288" s="34" t="str" cm="1">
        <f t="array" ref="R288">IF($A288="","",IF($J288="No","",GetMatchingValue($XFD$9,"Original","Control Number",R$2,$A288)))</f>
        <v/>
      </c>
      <c r="S288" s="34" t="str" cm="1">
        <f t="array" ref="S288">IF($A288="","",IF($J288="No","",GetMatchingValue($XFD$9,"Original","Control Number",S$2,$A288)))</f>
        <v/>
      </c>
      <c r="T288" s="34" t="str" cm="1">
        <f t="array" ref="T288">IF($A288="","",IF($J288="No","",GetMatchingValue($XFD$9,"Original","Control Number",T$2,$A288)))</f>
        <v/>
      </c>
      <c r="U288" s="34" t="str" cm="1">
        <f t="array" ref="U288">IF($A288="","",IF($J288="No","",GetMatchingValue($XFD$9,"Original","Control Number",U$2,$A288)))</f>
        <v/>
      </c>
      <c r="V288" s="14"/>
      <c r="W288" s="17"/>
      <c r="X288" s="17"/>
      <c r="Y288" s="17"/>
      <c r="Z288" s="13"/>
      <c r="AA288" s="13"/>
      <c r="AB288" s="13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3"/>
    </row>
    <row r="289" spans="1:45" ht="40.5" customHeight="1" x14ac:dyDescent="0.2">
      <c r="A289" s="19"/>
      <c r="B289" s="19"/>
      <c r="C289" s="15"/>
      <c r="D289" s="15"/>
      <c r="E289" s="13"/>
      <c r="F289" s="34" t="str" cm="1">
        <f t="array" ref="F289">IF($A289="","",GetMatchingValue($XFD$8,"Original","Control Number",F$2,$A289))</f>
        <v/>
      </c>
      <c r="G289" s="34" t="str" cm="1">
        <f t="array" ref="G289">IF($A289="","",GetMatchingValue($XFD$8,"Original","Control Number",G$2,$A289))</f>
        <v/>
      </c>
      <c r="H289" s="34" t="str" cm="1">
        <f t="array" ref="H289">IF($A289="","",GetMatchingValue($XFD$8,"Original","Control Number",H$2,$A289))</f>
        <v/>
      </c>
      <c r="I289" s="13"/>
      <c r="J289" s="13" t="str" cm="1">
        <f t="array" ref="J289">IF($A289="","",CheckControlNumberExists($XFD$9, "Original", $A289))</f>
        <v/>
      </c>
      <c r="K289" s="34" t="str" cm="1">
        <f t="array" ref="K289">IF($A289="","",IF($J289="No","",GetMatchingValue($XFD$9,"Original","Control Number",K$2,$A289)))</f>
        <v/>
      </c>
      <c r="L289" s="34" t="str" cm="1">
        <f t="array" ref="L289">IF($A289="","",IF($J289="No","",GetMatchingValue($XFD$9,"Original","Control Number",L$2,$A289)))</f>
        <v/>
      </c>
      <c r="M289" s="13" t="str">
        <f t="shared" ca="1" si="6"/>
        <v/>
      </c>
      <c r="N289" s="16"/>
      <c r="O289" s="34" t="str" cm="1">
        <f t="array" ref="O289">IF($A289="","",IF($J289="No","",GetMatchingValue($XFD$9,"Original","Control Number",O$2,$A289)))</f>
        <v/>
      </c>
      <c r="P289" s="34" t="str" cm="1">
        <f t="array" ref="P289">IF($A289="","",IF($J289="No","",GetMatchingValue($XFD$9,"Original","Control Number",P$2,$A289)))</f>
        <v/>
      </c>
      <c r="Q289" s="34" t="str" cm="1">
        <f t="array" ref="Q289">IF($A289="","",IF($J289="No","",GetMatchingValue($XFD$9,"Original","Control Number",Q$2,$A289)))</f>
        <v/>
      </c>
      <c r="R289" s="34" t="str" cm="1">
        <f t="array" ref="R289">IF($A289="","",IF($J289="No","",GetMatchingValue($XFD$9,"Original","Control Number",R$2,$A289)))</f>
        <v/>
      </c>
      <c r="S289" s="34" t="str" cm="1">
        <f t="array" ref="S289">IF($A289="","",IF($J289="No","",GetMatchingValue($XFD$9,"Original","Control Number",S$2,$A289)))</f>
        <v/>
      </c>
      <c r="T289" s="34" t="str" cm="1">
        <f t="array" ref="T289">IF($A289="","",IF($J289="No","",GetMatchingValue($XFD$9,"Original","Control Number",T$2,$A289)))</f>
        <v/>
      </c>
      <c r="U289" s="34" t="str" cm="1">
        <f t="array" ref="U289">IF($A289="","",IF($J289="No","",GetMatchingValue($XFD$9,"Original","Control Number",U$2,$A289)))</f>
        <v/>
      </c>
      <c r="V289" s="14"/>
      <c r="W289" s="17"/>
      <c r="X289" s="17"/>
      <c r="Y289" s="17"/>
      <c r="Z289" s="13"/>
      <c r="AA289" s="13"/>
      <c r="AB289" s="13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3"/>
    </row>
    <row r="290" spans="1:45" ht="40.5" customHeight="1" x14ac:dyDescent="0.2">
      <c r="A290" s="19"/>
      <c r="B290" s="19"/>
      <c r="C290" s="15"/>
      <c r="D290" s="15"/>
      <c r="E290" s="13"/>
      <c r="F290" s="34" t="str" cm="1">
        <f t="array" ref="F290">IF($A290="","",GetMatchingValue($XFD$8,"Original","Control Number",F$2,$A290))</f>
        <v/>
      </c>
      <c r="G290" s="34" t="str" cm="1">
        <f t="array" ref="G290">IF($A290="","",GetMatchingValue($XFD$8,"Original","Control Number",G$2,$A290))</f>
        <v/>
      </c>
      <c r="H290" s="34" t="str" cm="1">
        <f t="array" ref="H290">IF($A290="","",GetMatchingValue($XFD$8,"Original","Control Number",H$2,$A290))</f>
        <v/>
      </c>
      <c r="I290" s="13"/>
      <c r="J290" s="13" t="str" cm="1">
        <f t="array" ref="J290">IF($A290="","",CheckControlNumberExists($XFD$9, "Original", $A290))</f>
        <v/>
      </c>
      <c r="K290" s="34" t="str" cm="1">
        <f t="array" ref="K290">IF($A290="","",IF($J290="No","",GetMatchingValue($XFD$9,"Original","Control Number",K$2,$A290)))</f>
        <v/>
      </c>
      <c r="L290" s="34" t="str" cm="1">
        <f t="array" ref="L290">IF($A290="","",IF($J290="No","",GetMatchingValue($XFD$9,"Original","Control Number",L$2,$A290)))</f>
        <v/>
      </c>
      <c r="M290" s="13" t="str">
        <f t="shared" ca="1" si="6"/>
        <v/>
      </c>
      <c r="N290" s="16"/>
      <c r="O290" s="34" t="str" cm="1">
        <f t="array" ref="O290">IF($A290="","",IF($J290="No","",GetMatchingValue($XFD$9,"Original","Control Number",O$2,$A290)))</f>
        <v/>
      </c>
      <c r="P290" s="34" t="str" cm="1">
        <f t="array" ref="P290">IF($A290="","",IF($J290="No","",GetMatchingValue($XFD$9,"Original","Control Number",P$2,$A290)))</f>
        <v/>
      </c>
      <c r="Q290" s="34" t="str" cm="1">
        <f t="array" ref="Q290">IF($A290="","",IF($J290="No","",GetMatchingValue($XFD$9,"Original","Control Number",Q$2,$A290)))</f>
        <v/>
      </c>
      <c r="R290" s="34" t="str" cm="1">
        <f t="array" ref="R290">IF($A290="","",IF($J290="No","",GetMatchingValue($XFD$9,"Original","Control Number",R$2,$A290)))</f>
        <v/>
      </c>
      <c r="S290" s="34" t="str" cm="1">
        <f t="array" ref="S290">IF($A290="","",IF($J290="No","",GetMatchingValue($XFD$9,"Original","Control Number",S$2,$A290)))</f>
        <v/>
      </c>
      <c r="T290" s="34" t="str" cm="1">
        <f t="array" ref="T290">IF($A290="","",IF($J290="No","",GetMatchingValue($XFD$9,"Original","Control Number",T$2,$A290)))</f>
        <v/>
      </c>
      <c r="U290" s="34" t="str" cm="1">
        <f t="array" ref="U290">IF($A290="","",IF($J290="No","",GetMatchingValue($XFD$9,"Original","Control Number",U$2,$A290)))</f>
        <v/>
      </c>
      <c r="V290" s="14"/>
      <c r="W290" s="17"/>
      <c r="X290" s="17"/>
      <c r="Y290" s="17"/>
      <c r="Z290" s="13"/>
      <c r="AA290" s="13"/>
      <c r="AB290" s="13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3"/>
    </row>
    <row r="291" spans="1:45" ht="40.5" customHeight="1" x14ac:dyDescent="0.2">
      <c r="A291" s="19"/>
      <c r="B291" s="19"/>
      <c r="C291" s="15"/>
      <c r="D291" s="15"/>
      <c r="E291" s="13"/>
      <c r="F291" s="34" t="str" cm="1">
        <f t="array" ref="F291">IF($A291="","",GetMatchingValue($XFD$8,"Original","Control Number",F$2,$A291))</f>
        <v/>
      </c>
      <c r="G291" s="34" t="str" cm="1">
        <f t="array" ref="G291">IF($A291="","",GetMatchingValue($XFD$8,"Original","Control Number",G$2,$A291))</f>
        <v/>
      </c>
      <c r="H291" s="34" t="str" cm="1">
        <f t="array" ref="H291">IF($A291="","",GetMatchingValue($XFD$8,"Original","Control Number",H$2,$A291))</f>
        <v/>
      </c>
      <c r="I291" s="13"/>
      <c r="J291" s="13" t="str" cm="1">
        <f t="array" ref="J291">IF($A291="","",CheckControlNumberExists($XFD$9, "Original", $A291))</f>
        <v/>
      </c>
      <c r="K291" s="34" t="str" cm="1">
        <f t="array" ref="K291">IF($A291="","",IF($J291="No","",GetMatchingValue($XFD$9,"Original","Control Number",K$2,$A291)))</f>
        <v/>
      </c>
      <c r="L291" s="34" t="str" cm="1">
        <f t="array" ref="L291">IF($A291="","",IF($J291="No","",GetMatchingValue($XFD$9,"Original","Control Number",L$2,$A291)))</f>
        <v/>
      </c>
      <c r="M291" s="13" t="str">
        <f t="shared" ca="1" si="6"/>
        <v/>
      </c>
      <c r="N291" s="16"/>
      <c r="O291" s="34" t="str" cm="1">
        <f t="array" ref="O291">IF($A291="","",IF($J291="No","",GetMatchingValue($XFD$9,"Original","Control Number",O$2,$A291)))</f>
        <v/>
      </c>
      <c r="P291" s="34" t="str" cm="1">
        <f t="array" ref="P291">IF($A291="","",IF($J291="No","",GetMatchingValue($XFD$9,"Original","Control Number",P$2,$A291)))</f>
        <v/>
      </c>
      <c r="Q291" s="34" t="str" cm="1">
        <f t="array" ref="Q291">IF($A291="","",IF($J291="No","",GetMatchingValue($XFD$9,"Original","Control Number",Q$2,$A291)))</f>
        <v/>
      </c>
      <c r="R291" s="34" t="str" cm="1">
        <f t="array" ref="R291">IF($A291="","",IF($J291="No","",GetMatchingValue($XFD$9,"Original","Control Number",R$2,$A291)))</f>
        <v/>
      </c>
      <c r="S291" s="34" t="str" cm="1">
        <f t="array" ref="S291">IF($A291="","",IF($J291="No","",GetMatchingValue($XFD$9,"Original","Control Number",S$2,$A291)))</f>
        <v/>
      </c>
      <c r="T291" s="34" t="str" cm="1">
        <f t="array" ref="T291">IF($A291="","",IF($J291="No","",GetMatchingValue($XFD$9,"Original","Control Number",T$2,$A291)))</f>
        <v/>
      </c>
      <c r="U291" s="34" t="str" cm="1">
        <f t="array" ref="U291">IF($A291="","",IF($J291="No","",GetMatchingValue($XFD$9,"Original","Control Number",U$2,$A291)))</f>
        <v/>
      </c>
      <c r="V291" s="14"/>
      <c r="W291" s="17"/>
      <c r="X291" s="17"/>
      <c r="Y291" s="17"/>
      <c r="Z291" s="13"/>
      <c r="AA291" s="13"/>
      <c r="AB291" s="13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3"/>
    </row>
    <row r="292" spans="1:45" ht="40.5" customHeight="1" x14ac:dyDescent="0.2">
      <c r="A292" s="19"/>
      <c r="B292" s="19"/>
      <c r="C292" s="15"/>
      <c r="D292" s="15"/>
      <c r="E292" s="13"/>
      <c r="F292" s="34" t="str" cm="1">
        <f t="array" ref="F292">IF($A292="","",GetMatchingValue($XFD$8,"Original","Control Number",F$2,$A292))</f>
        <v/>
      </c>
      <c r="G292" s="34" t="str" cm="1">
        <f t="array" ref="G292">IF($A292="","",GetMatchingValue($XFD$8,"Original","Control Number",G$2,$A292))</f>
        <v/>
      </c>
      <c r="H292" s="34" t="str" cm="1">
        <f t="array" ref="H292">IF($A292="","",GetMatchingValue($XFD$8,"Original","Control Number",H$2,$A292))</f>
        <v/>
      </c>
      <c r="I292" s="13"/>
      <c r="J292" s="13" t="str" cm="1">
        <f t="array" ref="J292">IF($A292="","",CheckControlNumberExists($XFD$9, "Original", $A292))</f>
        <v/>
      </c>
      <c r="K292" s="34" t="str" cm="1">
        <f t="array" ref="K292">IF($A292="","",IF($J292="No","",GetMatchingValue($XFD$9,"Original","Control Number",K$2,$A292)))</f>
        <v/>
      </c>
      <c r="L292" s="34" t="str" cm="1">
        <f t="array" ref="L292">IF($A292="","",IF($J292="No","",GetMatchingValue($XFD$9,"Original","Control Number",L$2,$A292)))</f>
        <v/>
      </c>
      <c r="M292" s="13" t="str">
        <f t="shared" ca="1" si="6"/>
        <v/>
      </c>
      <c r="N292" s="16"/>
      <c r="O292" s="34" t="str" cm="1">
        <f t="array" ref="O292">IF($A292="","",IF($J292="No","",GetMatchingValue($XFD$9,"Original","Control Number",O$2,$A292)))</f>
        <v/>
      </c>
      <c r="P292" s="34" t="str" cm="1">
        <f t="array" ref="P292">IF($A292="","",IF($J292="No","",GetMatchingValue($XFD$9,"Original","Control Number",P$2,$A292)))</f>
        <v/>
      </c>
      <c r="Q292" s="34" t="str" cm="1">
        <f t="array" ref="Q292">IF($A292="","",IF($J292="No","",GetMatchingValue($XFD$9,"Original","Control Number",Q$2,$A292)))</f>
        <v/>
      </c>
      <c r="R292" s="34" t="str" cm="1">
        <f t="array" ref="R292">IF($A292="","",IF($J292="No","",GetMatchingValue($XFD$9,"Original","Control Number",R$2,$A292)))</f>
        <v/>
      </c>
      <c r="S292" s="34" t="str" cm="1">
        <f t="array" ref="S292">IF($A292="","",IF($J292="No","",GetMatchingValue($XFD$9,"Original","Control Number",S$2,$A292)))</f>
        <v/>
      </c>
      <c r="T292" s="34" t="str" cm="1">
        <f t="array" ref="T292">IF($A292="","",IF($J292="No","",GetMatchingValue($XFD$9,"Original","Control Number",T$2,$A292)))</f>
        <v/>
      </c>
      <c r="U292" s="34" t="str" cm="1">
        <f t="array" ref="U292">IF($A292="","",IF($J292="No","",GetMatchingValue($XFD$9,"Original","Control Number",U$2,$A292)))</f>
        <v/>
      </c>
      <c r="V292" s="14"/>
      <c r="W292" s="17"/>
      <c r="X292" s="17"/>
      <c r="Y292" s="17"/>
      <c r="Z292" s="13"/>
      <c r="AA292" s="13"/>
      <c r="AB292" s="13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3"/>
    </row>
    <row r="293" spans="1:45" ht="40.5" customHeight="1" x14ac:dyDescent="0.2">
      <c r="A293" s="19"/>
      <c r="B293" s="19"/>
      <c r="C293" s="15"/>
      <c r="D293" s="15"/>
      <c r="E293" s="13"/>
      <c r="F293" s="34" t="str" cm="1">
        <f t="array" ref="F293">IF($A293="","",GetMatchingValue($XFD$8,"Original","Control Number",F$2,$A293))</f>
        <v/>
      </c>
      <c r="G293" s="34" t="str" cm="1">
        <f t="array" ref="G293">IF($A293="","",GetMatchingValue($XFD$8,"Original","Control Number",G$2,$A293))</f>
        <v/>
      </c>
      <c r="H293" s="34" t="str" cm="1">
        <f t="array" ref="H293">IF($A293="","",GetMatchingValue($XFD$8,"Original","Control Number",H$2,$A293))</f>
        <v/>
      </c>
      <c r="I293" s="13"/>
      <c r="J293" s="13" t="str" cm="1">
        <f t="array" ref="J293">IF($A293="","",CheckControlNumberExists($XFD$9, "Original", $A293))</f>
        <v/>
      </c>
      <c r="K293" s="34" t="str" cm="1">
        <f t="array" ref="K293">IF($A293="","",IF($J293="No","",GetMatchingValue($XFD$9,"Original","Control Number",K$2,$A293)))</f>
        <v/>
      </c>
      <c r="L293" s="34" t="str" cm="1">
        <f t="array" ref="L293">IF($A293="","",IF($J293="No","",GetMatchingValue($XFD$9,"Original","Control Number",L$2,$A293)))</f>
        <v/>
      </c>
      <c r="M293" s="13" t="str">
        <f t="shared" ca="1" si="6"/>
        <v/>
      </c>
      <c r="N293" s="16"/>
      <c r="O293" s="34" t="str" cm="1">
        <f t="array" ref="O293">IF($A293="","",IF($J293="No","",GetMatchingValue($XFD$9,"Original","Control Number",O$2,$A293)))</f>
        <v/>
      </c>
      <c r="P293" s="34" t="str" cm="1">
        <f t="array" ref="P293">IF($A293="","",IF($J293="No","",GetMatchingValue($XFD$9,"Original","Control Number",P$2,$A293)))</f>
        <v/>
      </c>
      <c r="Q293" s="34" t="str" cm="1">
        <f t="array" ref="Q293">IF($A293="","",IF($J293="No","",GetMatchingValue($XFD$9,"Original","Control Number",Q$2,$A293)))</f>
        <v/>
      </c>
      <c r="R293" s="34" t="str" cm="1">
        <f t="array" ref="R293">IF($A293="","",IF($J293="No","",GetMatchingValue($XFD$9,"Original","Control Number",R$2,$A293)))</f>
        <v/>
      </c>
      <c r="S293" s="34" t="str" cm="1">
        <f t="array" ref="S293">IF($A293="","",IF($J293="No","",GetMatchingValue($XFD$9,"Original","Control Number",S$2,$A293)))</f>
        <v/>
      </c>
      <c r="T293" s="34" t="str" cm="1">
        <f t="array" ref="T293">IF($A293="","",IF($J293="No","",GetMatchingValue($XFD$9,"Original","Control Number",T$2,$A293)))</f>
        <v/>
      </c>
      <c r="U293" s="34" t="str" cm="1">
        <f t="array" ref="U293">IF($A293="","",IF($J293="No","",GetMatchingValue($XFD$9,"Original","Control Number",U$2,$A293)))</f>
        <v/>
      </c>
      <c r="V293" s="14"/>
      <c r="W293" s="17"/>
      <c r="X293" s="17"/>
      <c r="Y293" s="17"/>
      <c r="Z293" s="13"/>
      <c r="AA293" s="13"/>
      <c r="AB293" s="13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3"/>
    </row>
    <row r="294" spans="1:45" ht="40.5" customHeight="1" x14ac:dyDescent="0.2">
      <c r="A294" s="19"/>
      <c r="B294" s="19"/>
      <c r="C294" s="15"/>
      <c r="D294" s="15"/>
      <c r="E294" s="13"/>
      <c r="F294" s="34" t="str" cm="1">
        <f t="array" ref="F294">IF($A294="","",GetMatchingValue($XFD$8,"Original","Control Number",F$2,$A294))</f>
        <v/>
      </c>
      <c r="G294" s="34" t="str" cm="1">
        <f t="array" ref="G294">IF($A294="","",GetMatchingValue($XFD$8,"Original","Control Number",G$2,$A294))</f>
        <v/>
      </c>
      <c r="H294" s="34" t="str" cm="1">
        <f t="array" ref="H294">IF($A294="","",GetMatchingValue($XFD$8,"Original","Control Number",H$2,$A294))</f>
        <v/>
      </c>
      <c r="I294" s="13"/>
      <c r="J294" s="13" t="str" cm="1">
        <f t="array" ref="J294">IF($A294="","",CheckControlNumberExists($XFD$9, "Original", $A294))</f>
        <v/>
      </c>
      <c r="K294" s="34" t="str" cm="1">
        <f t="array" ref="K294">IF($A294="","",IF($J294="No","",GetMatchingValue($XFD$9,"Original","Control Number",K$2,$A294)))</f>
        <v/>
      </c>
      <c r="L294" s="34" t="str" cm="1">
        <f t="array" ref="L294">IF($A294="","",IF($J294="No","",GetMatchingValue($XFD$9,"Original","Control Number",L$2,$A294)))</f>
        <v/>
      </c>
      <c r="M294" s="13" t="str">
        <f t="shared" ca="1" si="6"/>
        <v/>
      </c>
      <c r="N294" s="16"/>
      <c r="O294" s="34" t="str" cm="1">
        <f t="array" ref="O294">IF($A294="","",IF($J294="No","",GetMatchingValue($XFD$9,"Original","Control Number",O$2,$A294)))</f>
        <v/>
      </c>
      <c r="P294" s="34" t="str" cm="1">
        <f t="array" ref="P294">IF($A294="","",IF($J294="No","",GetMatchingValue($XFD$9,"Original","Control Number",P$2,$A294)))</f>
        <v/>
      </c>
      <c r="Q294" s="34" t="str" cm="1">
        <f t="array" ref="Q294">IF($A294="","",IF($J294="No","",GetMatchingValue($XFD$9,"Original","Control Number",Q$2,$A294)))</f>
        <v/>
      </c>
      <c r="R294" s="34" t="str" cm="1">
        <f t="array" ref="R294">IF($A294="","",IF($J294="No","",GetMatchingValue($XFD$9,"Original","Control Number",R$2,$A294)))</f>
        <v/>
      </c>
      <c r="S294" s="34" t="str" cm="1">
        <f t="array" ref="S294">IF($A294="","",IF($J294="No","",GetMatchingValue($XFD$9,"Original","Control Number",S$2,$A294)))</f>
        <v/>
      </c>
      <c r="T294" s="34" t="str" cm="1">
        <f t="array" ref="T294">IF($A294="","",IF($J294="No","",GetMatchingValue($XFD$9,"Original","Control Number",T$2,$A294)))</f>
        <v/>
      </c>
      <c r="U294" s="34" t="str" cm="1">
        <f t="array" ref="U294">IF($A294="","",IF($J294="No","",GetMatchingValue($XFD$9,"Original","Control Number",U$2,$A294)))</f>
        <v/>
      </c>
      <c r="V294" s="14"/>
      <c r="W294" s="17"/>
      <c r="X294" s="17"/>
      <c r="Y294" s="17"/>
      <c r="Z294" s="13"/>
      <c r="AA294" s="13"/>
      <c r="AB294" s="13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3"/>
    </row>
    <row r="295" spans="1:45" ht="40.5" customHeight="1" x14ac:dyDescent="0.2">
      <c r="A295" s="19"/>
      <c r="B295" s="19"/>
      <c r="C295" s="15"/>
      <c r="D295" s="15"/>
      <c r="E295" s="13"/>
      <c r="F295" s="34" t="str" cm="1">
        <f t="array" ref="F295">IF($A295="","",GetMatchingValue($XFD$8,"Original","Control Number",F$2,$A295))</f>
        <v/>
      </c>
      <c r="G295" s="34" t="str" cm="1">
        <f t="array" ref="G295">IF($A295="","",GetMatchingValue($XFD$8,"Original","Control Number",G$2,$A295))</f>
        <v/>
      </c>
      <c r="H295" s="34" t="str" cm="1">
        <f t="array" ref="H295">IF($A295="","",GetMatchingValue($XFD$8,"Original","Control Number",H$2,$A295))</f>
        <v/>
      </c>
      <c r="I295" s="13"/>
      <c r="J295" s="13" t="str" cm="1">
        <f t="array" ref="J295">IF($A295="","",CheckControlNumberExists($XFD$9, "Original", $A295))</f>
        <v/>
      </c>
      <c r="K295" s="34" t="str" cm="1">
        <f t="array" ref="K295">IF($A295="","",IF($J295="No","",GetMatchingValue($XFD$9,"Original","Control Number",K$2,$A295)))</f>
        <v/>
      </c>
      <c r="L295" s="34" t="str" cm="1">
        <f t="array" ref="L295">IF($A295="","",IF($J295="No","",GetMatchingValue($XFD$9,"Original","Control Number",L$2,$A295)))</f>
        <v/>
      </c>
      <c r="M295" s="13" t="str">
        <f t="shared" ca="1" si="6"/>
        <v/>
      </c>
      <c r="N295" s="16"/>
      <c r="O295" s="34" t="str" cm="1">
        <f t="array" ref="O295">IF($A295="","",IF($J295="No","",GetMatchingValue($XFD$9,"Original","Control Number",O$2,$A295)))</f>
        <v/>
      </c>
      <c r="P295" s="34" t="str" cm="1">
        <f t="array" ref="P295">IF($A295="","",IF($J295="No","",GetMatchingValue($XFD$9,"Original","Control Number",P$2,$A295)))</f>
        <v/>
      </c>
      <c r="Q295" s="34" t="str" cm="1">
        <f t="array" ref="Q295">IF($A295="","",IF($J295="No","",GetMatchingValue($XFD$9,"Original","Control Number",Q$2,$A295)))</f>
        <v/>
      </c>
      <c r="R295" s="34" t="str" cm="1">
        <f t="array" ref="R295">IF($A295="","",IF($J295="No","",GetMatchingValue($XFD$9,"Original","Control Number",R$2,$A295)))</f>
        <v/>
      </c>
      <c r="S295" s="34" t="str" cm="1">
        <f t="array" ref="S295">IF($A295="","",IF($J295="No","",GetMatchingValue($XFD$9,"Original","Control Number",S$2,$A295)))</f>
        <v/>
      </c>
      <c r="T295" s="34" t="str" cm="1">
        <f t="array" ref="T295">IF($A295="","",IF($J295="No","",GetMatchingValue($XFD$9,"Original","Control Number",T$2,$A295)))</f>
        <v/>
      </c>
      <c r="U295" s="34" t="str" cm="1">
        <f t="array" ref="U295">IF($A295="","",IF($J295="No","",GetMatchingValue($XFD$9,"Original","Control Number",U$2,$A295)))</f>
        <v/>
      </c>
      <c r="V295" s="14"/>
      <c r="W295" s="17"/>
      <c r="X295" s="17"/>
      <c r="Y295" s="17"/>
      <c r="Z295" s="13"/>
      <c r="AA295" s="13"/>
      <c r="AB295" s="13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3"/>
    </row>
    <row r="296" spans="1:45" ht="40.5" customHeight="1" x14ac:dyDescent="0.2">
      <c r="A296" s="19"/>
      <c r="B296" s="19"/>
      <c r="C296" s="15"/>
      <c r="D296" s="15"/>
      <c r="E296" s="13"/>
      <c r="F296" s="34" t="str" cm="1">
        <f t="array" ref="F296">IF($A296="","",GetMatchingValue($XFD$8,"Original","Control Number",F$2,$A296))</f>
        <v/>
      </c>
      <c r="G296" s="34" t="str" cm="1">
        <f t="array" ref="G296">IF($A296="","",GetMatchingValue($XFD$8,"Original","Control Number",G$2,$A296))</f>
        <v/>
      </c>
      <c r="H296" s="34" t="str" cm="1">
        <f t="array" ref="H296">IF($A296="","",GetMatchingValue($XFD$8,"Original","Control Number",H$2,$A296))</f>
        <v/>
      </c>
      <c r="I296" s="13"/>
      <c r="J296" s="13" t="str" cm="1">
        <f t="array" ref="J296">IF($A296="","",CheckControlNumberExists($XFD$9, "Original", $A296))</f>
        <v/>
      </c>
      <c r="K296" s="34" t="str" cm="1">
        <f t="array" ref="K296">IF($A296="","",IF($J296="No","",GetMatchingValue($XFD$9,"Original","Control Number",K$2,$A296)))</f>
        <v/>
      </c>
      <c r="L296" s="34" t="str" cm="1">
        <f t="array" ref="L296">IF($A296="","",IF($J296="No","",GetMatchingValue($XFD$9,"Original","Control Number",L$2,$A296)))</f>
        <v/>
      </c>
      <c r="M296" s="13" t="str">
        <f t="shared" ca="1" si="6"/>
        <v/>
      </c>
      <c r="N296" s="16"/>
      <c r="O296" s="34" t="str" cm="1">
        <f t="array" ref="O296">IF($A296="","",IF($J296="No","",GetMatchingValue($XFD$9,"Original","Control Number",O$2,$A296)))</f>
        <v/>
      </c>
      <c r="P296" s="34" t="str" cm="1">
        <f t="array" ref="P296">IF($A296="","",IF($J296="No","",GetMatchingValue($XFD$9,"Original","Control Number",P$2,$A296)))</f>
        <v/>
      </c>
      <c r="Q296" s="34" t="str" cm="1">
        <f t="array" ref="Q296">IF($A296="","",IF($J296="No","",GetMatchingValue($XFD$9,"Original","Control Number",Q$2,$A296)))</f>
        <v/>
      </c>
      <c r="R296" s="34" t="str" cm="1">
        <f t="array" ref="R296">IF($A296="","",IF($J296="No","",GetMatchingValue($XFD$9,"Original","Control Number",R$2,$A296)))</f>
        <v/>
      </c>
      <c r="S296" s="34" t="str" cm="1">
        <f t="array" ref="S296">IF($A296="","",IF($J296="No","",GetMatchingValue($XFD$9,"Original","Control Number",S$2,$A296)))</f>
        <v/>
      </c>
      <c r="T296" s="34" t="str" cm="1">
        <f t="array" ref="T296">IF($A296="","",IF($J296="No","",GetMatchingValue($XFD$9,"Original","Control Number",T$2,$A296)))</f>
        <v/>
      </c>
      <c r="U296" s="34" t="str" cm="1">
        <f t="array" ref="U296">IF($A296="","",IF($J296="No","",GetMatchingValue($XFD$9,"Original","Control Number",U$2,$A296)))</f>
        <v/>
      </c>
      <c r="V296" s="14"/>
      <c r="W296" s="17"/>
      <c r="X296" s="17"/>
      <c r="Y296" s="17"/>
      <c r="Z296" s="13"/>
      <c r="AA296" s="13"/>
      <c r="AB296" s="13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3"/>
    </row>
    <row r="297" spans="1:45" ht="40.5" customHeight="1" x14ac:dyDescent="0.2">
      <c r="A297" s="19"/>
      <c r="B297" s="19"/>
      <c r="C297" s="15"/>
      <c r="D297" s="15"/>
      <c r="E297" s="13"/>
      <c r="F297" s="34" t="str" cm="1">
        <f t="array" ref="F297">IF($A297="","",GetMatchingValue($XFD$8,"Original","Control Number",F$2,$A297))</f>
        <v/>
      </c>
      <c r="G297" s="34" t="str" cm="1">
        <f t="array" ref="G297">IF($A297="","",GetMatchingValue($XFD$8,"Original","Control Number",G$2,$A297))</f>
        <v/>
      </c>
      <c r="H297" s="34" t="str" cm="1">
        <f t="array" ref="H297">IF($A297="","",GetMatchingValue($XFD$8,"Original","Control Number",H$2,$A297))</f>
        <v/>
      </c>
      <c r="I297" s="13"/>
      <c r="J297" s="13" t="str" cm="1">
        <f t="array" ref="J297">IF($A297="","",CheckControlNumberExists($XFD$9, "Original", $A297))</f>
        <v/>
      </c>
      <c r="K297" s="34" t="str" cm="1">
        <f t="array" ref="K297">IF($A297="","",IF($J297="No","",GetMatchingValue($XFD$9,"Original","Control Number",K$2,$A297)))</f>
        <v/>
      </c>
      <c r="L297" s="34" t="str" cm="1">
        <f t="array" ref="L297">IF($A297="","",IF($J297="No","",GetMatchingValue($XFD$9,"Original","Control Number",L$2,$A297)))</f>
        <v/>
      </c>
      <c r="M297" s="13" t="str">
        <f t="shared" ca="1" si="6"/>
        <v/>
      </c>
      <c r="N297" s="16"/>
      <c r="O297" s="34" t="str" cm="1">
        <f t="array" ref="O297">IF($A297="","",IF($J297="No","",GetMatchingValue($XFD$9,"Original","Control Number",O$2,$A297)))</f>
        <v/>
      </c>
      <c r="P297" s="34" t="str" cm="1">
        <f t="array" ref="P297">IF($A297="","",IF($J297="No","",GetMatchingValue($XFD$9,"Original","Control Number",P$2,$A297)))</f>
        <v/>
      </c>
      <c r="Q297" s="34" t="str" cm="1">
        <f t="array" ref="Q297">IF($A297="","",IF($J297="No","",GetMatchingValue($XFD$9,"Original","Control Number",Q$2,$A297)))</f>
        <v/>
      </c>
      <c r="R297" s="34" t="str" cm="1">
        <f t="array" ref="R297">IF($A297="","",IF($J297="No","",GetMatchingValue($XFD$9,"Original","Control Number",R$2,$A297)))</f>
        <v/>
      </c>
      <c r="S297" s="34" t="str" cm="1">
        <f t="array" ref="S297">IF($A297="","",IF($J297="No","",GetMatchingValue($XFD$9,"Original","Control Number",S$2,$A297)))</f>
        <v/>
      </c>
      <c r="T297" s="34" t="str" cm="1">
        <f t="array" ref="T297">IF($A297="","",IF($J297="No","",GetMatchingValue($XFD$9,"Original","Control Number",T$2,$A297)))</f>
        <v/>
      </c>
      <c r="U297" s="34" t="str" cm="1">
        <f t="array" ref="U297">IF($A297="","",IF($J297="No","",GetMatchingValue($XFD$9,"Original","Control Number",U$2,$A297)))</f>
        <v/>
      </c>
      <c r="V297" s="14"/>
      <c r="W297" s="17"/>
      <c r="X297" s="17"/>
      <c r="Y297" s="17"/>
      <c r="Z297" s="13"/>
      <c r="AA297" s="13"/>
      <c r="AB297" s="13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3"/>
    </row>
    <row r="298" spans="1:45" ht="40.5" customHeight="1" x14ac:dyDescent="0.2">
      <c r="A298" s="19"/>
      <c r="B298" s="19"/>
      <c r="C298" s="15"/>
      <c r="D298" s="15"/>
      <c r="E298" s="13"/>
      <c r="F298" s="34" t="str" cm="1">
        <f t="array" ref="F298">IF($A298="","",GetMatchingValue($XFD$8,"Original","Control Number",F$2,$A298))</f>
        <v/>
      </c>
      <c r="G298" s="34" t="str" cm="1">
        <f t="array" ref="G298">IF($A298="","",GetMatchingValue($XFD$8,"Original","Control Number",G$2,$A298))</f>
        <v/>
      </c>
      <c r="H298" s="34" t="str" cm="1">
        <f t="array" ref="H298">IF($A298="","",GetMatchingValue($XFD$8,"Original","Control Number",H$2,$A298))</f>
        <v/>
      </c>
      <c r="I298" s="13"/>
      <c r="J298" s="13" t="str" cm="1">
        <f t="array" ref="J298">IF($A298="","",CheckControlNumberExists($XFD$9, "Original", $A298))</f>
        <v/>
      </c>
      <c r="K298" s="34" t="str" cm="1">
        <f t="array" ref="K298">IF($A298="","",IF($J298="No","",GetMatchingValue($XFD$9,"Original","Control Number",K$2,$A298)))</f>
        <v/>
      </c>
      <c r="L298" s="34" t="str" cm="1">
        <f t="array" ref="L298">IF($A298="","",IF($J298="No","",GetMatchingValue($XFD$9,"Original","Control Number",L$2,$A298)))</f>
        <v/>
      </c>
      <c r="M298" s="13" t="str">
        <f t="shared" ca="1" si="6"/>
        <v/>
      </c>
      <c r="N298" s="16"/>
      <c r="O298" s="34" t="str" cm="1">
        <f t="array" ref="O298">IF($A298="","",IF($J298="No","",GetMatchingValue($XFD$9,"Original","Control Number",O$2,$A298)))</f>
        <v/>
      </c>
      <c r="P298" s="34" t="str" cm="1">
        <f t="array" ref="P298">IF($A298="","",IF($J298="No","",GetMatchingValue($XFD$9,"Original","Control Number",P$2,$A298)))</f>
        <v/>
      </c>
      <c r="Q298" s="34" t="str" cm="1">
        <f t="array" ref="Q298">IF($A298="","",IF($J298="No","",GetMatchingValue($XFD$9,"Original","Control Number",Q$2,$A298)))</f>
        <v/>
      </c>
      <c r="R298" s="34" t="str" cm="1">
        <f t="array" ref="R298">IF($A298="","",IF($J298="No","",GetMatchingValue($XFD$9,"Original","Control Number",R$2,$A298)))</f>
        <v/>
      </c>
      <c r="S298" s="34" t="str" cm="1">
        <f t="array" ref="S298">IF($A298="","",IF($J298="No","",GetMatchingValue($XFD$9,"Original","Control Number",S$2,$A298)))</f>
        <v/>
      </c>
      <c r="T298" s="34" t="str" cm="1">
        <f t="array" ref="T298">IF($A298="","",IF($J298="No","",GetMatchingValue($XFD$9,"Original","Control Number",T$2,$A298)))</f>
        <v/>
      </c>
      <c r="U298" s="34" t="str" cm="1">
        <f t="array" ref="U298">IF($A298="","",IF($J298="No","",GetMatchingValue($XFD$9,"Original","Control Number",U$2,$A298)))</f>
        <v/>
      </c>
      <c r="V298" s="14"/>
      <c r="W298" s="17"/>
      <c r="X298" s="17"/>
      <c r="Y298" s="17"/>
      <c r="Z298" s="13"/>
      <c r="AA298" s="13"/>
      <c r="AB298" s="13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3"/>
    </row>
    <row r="299" spans="1:45" ht="40.5" customHeight="1" x14ac:dyDescent="0.2">
      <c r="A299" s="19"/>
      <c r="B299" s="19"/>
      <c r="C299" s="15"/>
      <c r="D299" s="15"/>
      <c r="E299" s="13"/>
      <c r="F299" s="34" t="str" cm="1">
        <f t="array" ref="F299">IF($A299="","",GetMatchingValue($XFD$8,"Original","Control Number",F$2,$A299))</f>
        <v/>
      </c>
      <c r="G299" s="34" t="str" cm="1">
        <f t="array" ref="G299">IF($A299="","",GetMatchingValue($XFD$8,"Original","Control Number",G$2,$A299))</f>
        <v/>
      </c>
      <c r="H299" s="34" t="str" cm="1">
        <f t="array" ref="H299">IF($A299="","",GetMatchingValue($XFD$8,"Original","Control Number",H$2,$A299))</f>
        <v/>
      </c>
      <c r="I299" s="13"/>
      <c r="J299" s="13" t="str" cm="1">
        <f t="array" ref="J299">IF($A299="","",CheckControlNumberExists($XFD$9, "Original", $A299))</f>
        <v/>
      </c>
      <c r="K299" s="34" t="str" cm="1">
        <f t="array" ref="K299">IF($A299="","",IF($J299="No","",GetMatchingValue($XFD$9,"Original","Control Number",K$2,$A299)))</f>
        <v/>
      </c>
      <c r="L299" s="34" t="str" cm="1">
        <f t="array" ref="L299">IF($A299="","",IF($J299="No","",GetMatchingValue($XFD$9,"Original","Control Number",L$2,$A299)))</f>
        <v/>
      </c>
      <c r="M299" s="13" t="str">
        <f t="shared" ca="1" si="6"/>
        <v/>
      </c>
      <c r="N299" s="16"/>
      <c r="O299" s="34" t="str" cm="1">
        <f t="array" ref="O299">IF($A299="","",IF($J299="No","",GetMatchingValue($XFD$9,"Original","Control Number",O$2,$A299)))</f>
        <v/>
      </c>
      <c r="P299" s="34" t="str" cm="1">
        <f t="array" ref="P299">IF($A299="","",IF($J299="No","",GetMatchingValue($XFD$9,"Original","Control Number",P$2,$A299)))</f>
        <v/>
      </c>
      <c r="Q299" s="34" t="str" cm="1">
        <f t="array" ref="Q299">IF($A299="","",IF($J299="No","",GetMatchingValue($XFD$9,"Original","Control Number",Q$2,$A299)))</f>
        <v/>
      </c>
      <c r="R299" s="34" t="str" cm="1">
        <f t="array" ref="R299">IF($A299="","",IF($J299="No","",GetMatchingValue($XFD$9,"Original","Control Number",R$2,$A299)))</f>
        <v/>
      </c>
      <c r="S299" s="34" t="str" cm="1">
        <f t="array" ref="S299">IF($A299="","",IF($J299="No","",GetMatchingValue($XFD$9,"Original","Control Number",S$2,$A299)))</f>
        <v/>
      </c>
      <c r="T299" s="34" t="str" cm="1">
        <f t="array" ref="T299">IF($A299="","",IF($J299="No","",GetMatchingValue($XFD$9,"Original","Control Number",T$2,$A299)))</f>
        <v/>
      </c>
      <c r="U299" s="34" t="str" cm="1">
        <f t="array" ref="U299">IF($A299="","",IF($J299="No","",GetMatchingValue($XFD$9,"Original","Control Number",U$2,$A299)))</f>
        <v/>
      </c>
      <c r="V299" s="14"/>
      <c r="W299" s="17"/>
      <c r="X299" s="17"/>
      <c r="Y299" s="17"/>
      <c r="Z299" s="13"/>
      <c r="AA299" s="13"/>
      <c r="AB299" s="13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3"/>
    </row>
    <row r="300" spans="1:45" ht="40.5" customHeight="1" x14ac:dyDescent="0.2">
      <c r="A300" s="19"/>
      <c r="B300" s="19"/>
      <c r="C300" s="15"/>
      <c r="D300" s="15"/>
      <c r="E300" s="13"/>
      <c r="F300" s="34" t="str" cm="1">
        <f t="array" ref="F300">IF($A300="","",GetMatchingValue($XFD$8,"Original","Control Number",F$2,$A300))</f>
        <v/>
      </c>
      <c r="G300" s="34" t="str" cm="1">
        <f t="array" ref="G300">IF($A300="","",GetMatchingValue($XFD$8,"Original","Control Number",G$2,$A300))</f>
        <v/>
      </c>
      <c r="H300" s="34" t="str" cm="1">
        <f t="array" ref="H300">IF($A300="","",GetMatchingValue($XFD$8,"Original","Control Number",H$2,$A300))</f>
        <v/>
      </c>
      <c r="I300" s="13"/>
      <c r="J300" s="13" t="str" cm="1">
        <f t="array" ref="J300">IF($A300="","",CheckControlNumberExists($XFD$9, "Original", $A300))</f>
        <v/>
      </c>
      <c r="K300" s="34" t="str" cm="1">
        <f t="array" ref="K300">IF($A300="","",IF($J300="No","",GetMatchingValue($XFD$9,"Original","Control Number",K$2,$A300)))</f>
        <v/>
      </c>
      <c r="L300" s="34" t="str" cm="1">
        <f t="array" ref="L300">IF($A300="","",IF($J300="No","",GetMatchingValue($XFD$9,"Original","Control Number",L$2,$A300)))</f>
        <v/>
      </c>
      <c r="M300" s="13" t="str">
        <f t="shared" ca="1" si="6"/>
        <v/>
      </c>
      <c r="N300" s="16"/>
      <c r="O300" s="34" t="str" cm="1">
        <f t="array" ref="O300">IF($A300="","",IF($J300="No","",GetMatchingValue($XFD$9,"Original","Control Number",O$2,$A300)))</f>
        <v/>
      </c>
      <c r="P300" s="34" t="str" cm="1">
        <f t="array" ref="P300">IF($A300="","",IF($J300="No","",GetMatchingValue($XFD$9,"Original","Control Number",P$2,$A300)))</f>
        <v/>
      </c>
      <c r="Q300" s="34" t="str" cm="1">
        <f t="array" ref="Q300">IF($A300="","",IF($J300="No","",GetMatchingValue($XFD$9,"Original","Control Number",Q$2,$A300)))</f>
        <v/>
      </c>
      <c r="R300" s="34" t="str" cm="1">
        <f t="array" ref="R300">IF($A300="","",IF($J300="No","",GetMatchingValue($XFD$9,"Original","Control Number",R$2,$A300)))</f>
        <v/>
      </c>
      <c r="S300" s="34" t="str" cm="1">
        <f t="array" ref="S300">IF($A300="","",IF($J300="No","",GetMatchingValue($XFD$9,"Original","Control Number",S$2,$A300)))</f>
        <v/>
      </c>
      <c r="T300" s="34" t="str" cm="1">
        <f t="array" ref="T300">IF($A300="","",IF($J300="No","",GetMatchingValue($XFD$9,"Original","Control Number",T$2,$A300)))</f>
        <v/>
      </c>
      <c r="U300" s="34" t="str" cm="1">
        <f t="array" ref="U300">IF($A300="","",IF($J300="No","",GetMatchingValue($XFD$9,"Original","Control Number",U$2,$A300)))</f>
        <v/>
      </c>
      <c r="V300" s="14"/>
      <c r="W300" s="17"/>
      <c r="X300" s="17"/>
      <c r="Y300" s="17"/>
      <c r="Z300" s="13"/>
      <c r="AA300" s="13"/>
      <c r="AB300" s="13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3"/>
    </row>
    <row r="301" spans="1:45" ht="40.5" customHeight="1" x14ac:dyDescent="0.2">
      <c r="A301" s="19"/>
      <c r="B301" s="19"/>
      <c r="C301" s="15"/>
      <c r="D301" s="15"/>
      <c r="E301" s="13"/>
      <c r="F301" s="34" t="str" cm="1">
        <f t="array" ref="F301">IF($A301="","",GetMatchingValue($XFD$8,"Original","Control Number",F$2,$A301))</f>
        <v/>
      </c>
      <c r="G301" s="34" t="str" cm="1">
        <f t="array" ref="G301">IF($A301="","",GetMatchingValue($XFD$8,"Original","Control Number",G$2,$A301))</f>
        <v/>
      </c>
      <c r="H301" s="34" t="str" cm="1">
        <f t="array" ref="H301">IF($A301="","",GetMatchingValue($XFD$8,"Original","Control Number",H$2,$A301))</f>
        <v/>
      </c>
      <c r="I301" s="13"/>
      <c r="J301" s="13" t="str" cm="1">
        <f t="array" ref="J301">IF($A301="","",CheckControlNumberExists($XFD$9, "Original", $A301))</f>
        <v/>
      </c>
      <c r="K301" s="34" t="str" cm="1">
        <f t="array" ref="K301">IF($A301="","",IF($J301="No","",GetMatchingValue($XFD$9,"Original","Control Number",K$2,$A301)))</f>
        <v/>
      </c>
      <c r="L301" s="34" t="str" cm="1">
        <f t="array" ref="L301">IF($A301="","",IF($J301="No","",GetMatchingValue($XFD$9,"Original","Control Number",L$2,$A301)))</f>
        <v/>
      </c>
      <c r="M301" s="13" t="str">
        <f t="shared" ca="1" si="6"/>
        <v/>
      </c>
      <c r="N301" s="16"/>
      <c r="O301" s="34" t="str" cm="1">
        <f t="array" ref="O301">IF($A301="","",IF($J301="No","",GetMatchingValue($XFD$9,"Original","Control Number",O$2,$A301)))</f>
        <v/>
      </c>
      <c r="P301" s="34" t="str" cm="1">
        <f t="array" ref="P301">IF($A301="","",IF($J301="No","",GetMatchingValue($XFD$9,"Original","Control Number",P$2,$A301)))</f>
        <v/>
      </c>
      <c r="Q301" s="34" t="str" cm="1">
        <f t="array" ref="Q301">IF($A301="","",IF($J301="No","",GetMatchingValue($XFD$9,"Original","Control Number",Q$2,$A301)))</f>
        <v/>
      </c>
      <c r="R301" s="34" t="str" cm="1">
        <f t="array" ref="R301">IF($A301="","",IF($J301="No","",GetMatchingValue($XFD$9,"Original","Control Number",R$2,$A301)))</f>
        <v/>
      </c>
      <c r="S301" s="34" t="str" cm="1">
        <f t="array" ref="S301">IF($A301="","",IF($J301="No","",GetMatchingValue($XFD$9,"Original","Control Number",S$2,$A301)))</f>
        <v/>
      </c>
      <c r="T301" s="34" t="str" cm="1">
        <f t="array" ref="T301">IF($A301="","",IF($J301="No","",GetMatchingValue($XFD$9,"Original","Control Number",T$2,$A301)))</f>
        <v/>
      </c>
      <c r="U301" s="34" t="str" cm="1">
        <f t="array" ref="U301">IF($A301="","",IF($J301="No","",GetMatchingValue($XFD$9,"Original","Control Number",U$2,$A301)))</f>
        <v/>
      </c>
      <c r="V301" s="14"/>
      <c r="W301" s="17"/>
      <c r="X301" s="17"/>
      <c r="Y301" s="17"/>
      <c r="Z301" s="13"/>
      <c r="AA301" s="13"/>
      <c r="AB301" s="13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3"/>
    </row>
    <row r="302" spans="1:45" ht="40.5" customHeight="1" x14ac:dyDescent="0.2">
      <c r="A302" s="19"/>
      <c r="B302" s="19"/>
      <c r="C302" s="15"/>
      <c r="D302" s="15"/>
      <c r="E302" s="13"/>
      <c r="F302" s="34" t="str" cm="1">
        <f t="array" ref="F302">IF($A302="","",GetMatchingValue($XFD$8,"Original","Control Number",F$2,$A302))</f>
        <v/>
      </c>
      <c r="G302" s="34" t="str" cm="1">
        <f t="array" ref="G302">IF($A302="","",GetMatchingValue($XFD$8,"Original","Control Number",G$2,$A302))</f>
        <v/>
      </c>
      <c r="H302" s="34" t="str" cm="1">
        <f t="array" ref="H302">IF($A302="","",GetMatchingValue($XFD$8,"Original","Control Number",H$2,$A302))</f>
        <v/>
      </c>
      <c r="I302" s="13"/>
      <c r="J302" s="13" t="str" cm="1">
        <f t="array" ref="J302">IF($A302="","",CheckControlNumberExists($XFD$9, "Original", $A302))</f>
        <v/>
      </c>
      <c r="K302" s="34" t="str" cm="1">
        <f t="array" ref="K302">IF($A302="","",IF($J302="No","",GetMatchingValue($XFD$9,"Original","Control Number",K$2,$A302)))</f>
        <v/>
      </c>
      <c r="L302" s="34" t="str" cm="1">
        <f t="array" ref="L302">IF($A302="","",IF($J302="No","",GetMatchingValue($XFD$9,"Original","Control Number",L$2,$A302)))</f>
        <v/>
      </c>
      <c r="M302" s="13" t="str">
        <f t="shared" ca="1" si="6"/>
        <v/>
      </c>
      <c r="N302" s="16"/>
      <c r="O302" s="34" t="str" cm="1">
        <f t="array" ref="O302">IF($A302="","",IF($J302="No","",GetMatchingValue($XFD$9,"Original","Control Number",O$2,$A302)))</f>
        <v/>
      </c>
      <c r="P302" s="34" t="str" cm="1">
        <f t="array" ref="P302">IF($A302="","",IF($J302="No","",GetMatchingValue($XFD$9,"Original","Control Number",P$2,$A302)))</f>
        <v/>
      </c>
      <c r="Q302" s="34" t="str" cm="1">
        <f t="array" ref="Q302">IF($A302="","",IF($J302="No","",GetMatchingValue($XFD$9,"Original","Control Number",Q$2,$A302)))</f>
        <v/>
      </c>
      <c r="R302" s="34" t="str" cm="1">
        <f t="array" ref="R302">IF($A302="","",IF($J302="No","",GetMatchingValue($XFD$9,"Original","Control Number",R$2,$A302)))</f>
        <v/>
      </c>
      <c r="S302" s="34" t="str" cm="1">
        <f t="array" ref="S302">IF($A302="","",IF($J302="No","",GetMatchingValue($XFD$9,"Original","Control Number",S$2,$A302)))</f>
        <v/>
      </c>
      <c r="T302" s="34" t="str" cm="1">
        <f t="array" ref="T302">IF($A302="","",IF($J302="No","",GetMatchingValue($XFD$9,"Original","Control Number",T$2,$A302)))</f>
        <v/>
      </c>
      <c r="U302" s="34" t="str" cm="1">
        <f t="array" ref="U302">IF($A302="","",IF($J302="No","",GetMatchingValue($XFD$9,"Original","Control Number",U$2,$A302)))</f>
        <v/>
      </c>
      <c r="V302" s="14"/>
      <c r="W302" s="17"/>
      <c r="X302" s="17"/>
      <c r="Y302" s="17"/>
      <c r="Z302" s="13"/>
      <c r="AA302" s="13"/>
      <c r="AB302" s="13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3"/>
    </row>
    <row r="303" spans="1:45" ht="40.5" customHeight="1" x14ac:dyDescent="0.2">
      <c r="A303" s="19"/>
      <c r="B303" s="19"/>
      <c r="C303" s="15"/>
      <c r="D303" s="15"/>
      <c r="E303" s="13"/>
      <c r="F303" s="34" t="str" cm="1">
        <f t="array" ref="F303">IF($A303="","",GetMatchingValue($XFD$8,"Original","Control Number",F$2,$A303))</f>
        <v/>
      </c>
      <c r="G303" s="34" t="str" cm="1">
        <f t="array" ref="G303">IF($A303="","",GetMatchingValue($XFD$8,"Original","Control Number",G$2,$A303))</f>
        <v/>
      </c>
      <c r="H303" s="34" t="str" cm="1">
        <f t="array" ref="H303">IF($A303="","",GetMatchingValue($XFD$8,"Original","Control Number",H$2,$A303))</f>
        <v/>
      </c>
      <c r="I303" s="13"/>
      <c r="J303" s="13" t="str" cm="1">
        <f t="array" ref="J303">IF($A303="","",CheckControlNumberExists($XFD$9, "Original", $A303))</f>
        <v/>
      </c>
      <c r="K303" s="34" t="str" cm="1">
        <f t="array" ref="K303">IF($A303="","",IF($J303="No","",GetMatchingValue($XFD$9,"Original","Control Number",K$2,$A303)))</f>
        <v/>
      </c>
      <c r="L303" s="34" t="str" cm="1">
        <f t="array" ref="L303">IF($A303="","",IF($J303="No","",GetMatchingValue($XFD$9,"Original","Control Number",L$2,$A303)))</f>
        <v/>
      </c>
      <c r="M303" s="13" t="str">
        <f t="shared" ca="1" si="6"/>
        <v/>
      </c>
      <c r="N303" s="16"/>
      <c r="O303" s="34" t="str" cm="1">
        <f t="array" ref="O303">IF($A303="","",IF($J303="No","",GetMatchingValue($XFD$9,"Original","Control Number",O$2,$A303)))</f>
        <v/>
      </c>
      <c r="P303" s="34" t="str" cm="1">
        <f t="array" ref="P303">IF($A303="","",IF($J303="No","",GetMatchingValue($XFD$9,"Original","Control Number",P$2,$A303)))</f>
        <v/>
      </c>
      <c r="Q303" s="34" t="str" cm="1">
        <f t="array" ref="Q303">IF($A303="","",IF($J303="No","",GetMatchingValue($XFD$9,"Original","Control Number",Q$2,$A303)))</f>
        <v/>
      </c>
      <c r="R303" s="34" t="str" cm="1">
        <f t="array" ref="R303">IF($A303="","",IF($J303="No","",GetMatchingValue($XFD$9,"Original","Control Number",R$2,$A303)))</f>
        <v/>
      </c>
      <c r="S303" s="34" t="str" cm="1">
        <f t="array" ref="S303">IF($A303="","",IF($J303="No","",GetMatchingValue($XFD$9,"Original","Control Number",S$2,$A303)))</f>
        <v/>
      </c>
      <c r="T303" s="34" t="str" cm="1">
        <f t="array" ref="T303">IF($A303="","",IF($J303="No","",GetMatchingValue($XFD$9,"Original","Control Number",T$2,$A303)))</f>
        <v/>
      </c>
      <c r="U303" s="34" t="str" cm="1">
        <f t="array" ref="U303">IF($A303="","",IF($J303="No","",GetMatchingValue($XFD$9,"Original","Control Number",U$2,$A303)))</f>
        <v/>
      </c>
      <c r="V303" s="14"/>
      <c r="W303" s="17"/>
      <c r="X303" s="17"/>
      <c r="Y303" s="17"/>
      <c r="Z303" s="13"/>
      <c r="AA303" s="13"/>
      <c r="AB303" s="13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3"/>
    </row>
    <row r="304" spans="1:45" ht="40.5" customHeight="1" x14ac:dyDescent="0.2">
      <c r="A304" s="19"/>
      <c r="B304" s="19"/>
      <c r="C304" s="15"/>
      <c r="D304" s="15"/>
      <c r="E304" s="13"/>
      <c r="F304" s="34" t="str" cm="1">
        <f t="array" ref="F304">IF($A304="","",GetMatchingValue($XFD$8,"Original","Control Number",F$2,$A304))</f>
        <v/>
      </c>
      <c r="G304" s="34" t="str" cm="1">
        <f t="array" ref="G304">IF($A304="","",GetMatchingValue($XFD$8,"Original","Control Number",G$2,$A304))</f>
        <v/>
      </c>
      <c r="H304" s="34" t="str" cm="1">
        <f t="array" ref="H304">IF($A304="","",GetMatchingValue($XFD$8,"Original","Control Number",H$2,$A304))</f>
        <v/>
      </c>
      <c r="I304" s="13"/>
      <c r="J304" s="13" t="str" cm="1">
        <f t="array" ref="J304">IF($A304="","",CheckControlNumberExists($XFD$9, "Original", $A304))</f>
        <v/>
      </c>
      <c r="K304" s="34" t="str" cm="1">
        <f t="array" ref="K304">IF($A304="","",IF($J304="No","",GetMatchingValue($XFD$9,"Original","Control Number",K$2,$A304)))</f>
        <v/>
      </c>
      <c r="L304" s="34" t="str" cm="1">
        <f t="array" ref="L304">IF($A304="","",IF($J304="No","",GetMatchingValue($XFD$9,"Original","Control Number",L$2,$A304)))</f>
        <v/>
      </c>
      <c r="M304" s="13" t="str">
        <f t="shared" ca="1" si="6"/>
        <v/>
      </c>
      <c r="N304" s="16"/>
      <c r="O304" s="34" t="str" cm="1">
        <f t="array" ref="O304">IF($A304="","",IF($J304="No","",GetMatchingValue($XFD$9,"Original","Control Number",O$2,$A304)))</f>
        <v/>
      </c>
      <c r="P304" s="34" t="str" cm="1">
        <f t="array" ref="P304">IF($A304="","",IF($J304="No","",GetMatchingValue($XFD$9,"Original","Control Number",P$2,$A304)))</f>
        <v/>
      </c>
      <c r="Q304" s="34" t="str" cm="1">
        <f t="array" ref="Q304">IF($A304="","",IF($J304="No","",GetMatchingValue($XFD$9,"Original","Control Number",Q$2,$A304)))</f>
        <v/>
      </c>
      <c r="R304" s="34" t="str" cm="1">
        <f t="array" ref="R304">IF($A304="","",IF($J304="No","",GetMatchingValue($XFD$9,"Original","Control Number",R$2,$A304)))</f>
        <v/>
      </c>
      <c r="S304" s="34" t="str" cm="1">
        <f t="array" ref="S304">IF($A304="","",IF($J304="No","",GetMatchingValue($XFD$9,"Original","Control Number",S$2,$A304)))</f>
        <v/>
      </c>
      <c r="T304" s="34" t="str" cm="1">
        <f t="array" ref="T304">IF($A304="","",IF($J304="No","",GetMatchingValue($XFD$9,"Original","Control Number",T$2,$A304)))</f>
        <v/>
      </c>
      <c r="U304" s="34" t="str" cm="1">
        <f t="array" ref="U304">IF($A304="","",IF($J304="No","",GetMatchingValue($XFD$9,"Original","Control Number",U$2,$A304)))</f>
        <v/>
      </c>
      <c r="V304" s="14"/>
      <c r="W304" s="17"/>
      <c r="X304" s="17"/>
      <c r="Y304" s="17"/>
      <c r="Z304" s="13"/>
      <c r="AA304" s="13"/>
      <c r="AB304" s="13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3"/>
    </row>
    <row r="305" spans="1:45" ht="40.5" customHeight="1" x14ac:dyDescent="0.2">
      <c r="A305" s="19"/>
      <c r="B305" s="19"/>
      <c r="C305" s="15"/>
      <c r="D305" s="15"/>
      <c r="E305" s="13"/>
      <c r="F305" s="34" t="str" cm="1">
        <f t="array" ref="F305">IF($A305="","",GetMatchingValue($XFD$8,"Original","Control Number",F$2,$A305))</f>
        <v/>
      </c>
      <c r="G305" s="34" t="str" cm="1">
        <f t="array" ref="G305">IF($A305="","",GetMatchingValue($XFD$8,"Original","Control Number",G$2,$A305))</f>
        <v/>
      </c>
      <c r="H305" s="34" t="str" cm="1">
        <f t="array" ref="H305">IF($A305="","",GetMatchingValue($XFD$8,"Original","Control Number",H$2,$A305))</f>
        <v/>
      </c>
      <c r="I305" s="13"/>
      <c r="J305" s="13" t="str" cm="1">
        <f t="array" ref="J305">IF($A305="","",CheckControlNumberExists($XFD$9, "Original", $A305))</f>
        <v/>
      </c>
      <c r="K305" s="34" t="str" cm="1">
        <f t="array" ref="K305">IF($A305="","",IF($J305="No","",GetMatchingValue($XFD$9,"Original","Control Number",K$2,$A305)))</f>
        <v/>
      </c>
      <c r="L305" s="34" t="str" cm="1">
        <f t="array" ref="L305">IF($A305="","",IF($J305="No","",GetMatchingValue($XFD$9,"Original","Control Number",L$2,$A305)))</f>
        <v/>
      </c>
      <c r="M305" s="13" t="str">
        <f t="shared" ca="1" si="6"/>
        <v/>
      </c>
      <c r="N305" s="16"/>
      <c r="O305" s="34" t="str" cm="1">
        <f t="array" ref="O305">IF($A305="","",IF($J305="No","",GetMatchingValue($XFD$9,"Original","Control Number",O$2,$A305)))</f>
        <v/>
      </c>
      <c r="P305" s="34" t="str" cm="1">
        <f t="array" ref="P305">IF($A305="","",IF($J305="No","",GetMatchingValue($XFD$9,"Original","Control Number",P$2,$A305)))</f>
        <v/>
      </c>
      <c r="Q305" s="34" t="str" cm="1">
        <f t="array" ref="Q305">IF($A305="","",IF($J305="No","",GetMatchingValue($XFD$9,"Original","Control Number",Q$2,$A305)))</f>
        <v/>
      </c>
      <c r="R305" s="34" t="str" cm="1">
        <f t="array" ref="R305">IF($A305="","",IF($J305="No","",GetMatchingValue($XFD$9,"Original","Control Number",R$2,$A305)))</f>
        <v/>
      </c>
      <c r="S305" s="34" t="str" cm="1">
        <f t="array" ref="S305">IF($A305="","",IF($J305="No","",GetMatchingValue($XFD$9,"Original","Control Number",S$2,$A305)))</f>
        <v/>
      </c>
      <c r="T305" s="34" t="str" cm="1">
        <f t="array" ref="T305">IF($A305="","",IF($J305="No","",GetMatchingValue($XFD$9,"Original","Control Number",T$2,$A305)))</f>
        <v/>
      </c>
      <c r="U305" s="34" t="str" cm="1">
        <f t="array" ref="U305">IF($A305="","",IF($J305="No","",GetMatchingValue($XFD$9,"Original","Control Number",U$2,$A305)))</f>
        <v/>
      </c>
      <c r="V305" s="14"/>
      <c r="W305" s="17"/>
      <c r="X305" s="17"/>
      <c r="Y305" s="17"/>
      <c r="Z305" s="13"/>
      <c r="AA305" s="13"/>
      <c r="AB305" s="13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3"/>
    </row>
    <row r="306" spans="1:45" ht="40.5" customHeight="1" x14ac:dyDescent="0.2">
      <c r="A306" s="19"/>
      <c r="B306" s="19"/>
      <c r="C306" s="15"/>
      <c r="D306" s="15"/>
      <c r="E306" s="13"/>
      <c r="F306" s="34" t="str" cm="1">
        <f t="array" ref="F306">IF($A306="","",GetMatchingValue($XFD$8,"Original","Control Number",F$2,$A306))</f>
        <v/>
      </c>
      <c r="G306" s="34" t="str" cm="1">
        <f t="array" ref="G306">IF($A306="","",GetMatchingValue($XFD$8,"Original","Control Number",G$2,$A306))</f>
        <v/>
      </c>
      <c r="H306" s="34" t="str" cm="1">
        <f t="array" ref="H306">IF($A306="","",GetMatchingValue($XFD$8,"Original","Control Number",H$2,$A306))</f>
        <v/>
      </c>
      <c r="I306" s="13"/>
      <c r="J306" s="13" t="str" cm="1">
        <f t="array" ref="J306">IF($A306="","",CheckControlNumberExists($XFD$9, "Original", $A306))</f>
        <v/>
      </c>
      <c r="K306" s="34" t="str" cm="1">
        <f t="array" ref="K306">IF($A306="","",IF($J306="No","",GetMatchingValue($XFD$9,"Original","Control Number",K$2,$A306)))</f>
        <v/>
      </c>
      <c r="L306" s="34" t="str" cm="1">
        <f t="array" ref="L306">IF($A306="","",IF($J306="No","",GetMatchingValue($XFD$9,"Original","Control Number",L$2,$A306)))</f>
        <v/>
      </c>
      <c r="M306" s="13" t="str">
        <f t="shared" ca="1" si="6"/>
        <v/>
      </c>
      <c r="N306" s="16"/>
      <c r="O306" s="34" t="str" cm="1">
        <f t="array" ref="O306">IF($A306="","",IF($J306="No","",GetMatchingValue($XFD$9,"Original","Control Number",O$2,$A306)))</f>
        <v/>
      </c>
      <c r="P306" s="34" t="str" cm="1">
        <f t="array" ref="P306">IF($A306="","",IF($J306="No","",GetMatchingValue($XFD$9,"Original","Control Number",P$2,$A306)))</f>
        <v/>
      </c>
      <c r="Q306" s="34" t="str" cm="1">
        <f t="array" ref="Q306">IF($A306="","",IF($J306="No","",GetMatchingValue($XFD$9,"Original","Control Number",Q$2,$A306)))</f>
        <v/>
      </c>
      <c r="R306" s="34" t="str" cm="1">
        <f t="array" ref="R306">IF($A306="","",IF($J306="No","",GetMatchingValue($XFD$9,"Original","Control Number",R$2,$A306)))</f>
        <v/>
      </c>
      <c r="S306" s="34" t="str" cm="1">
        <f t="array" ref="S306">IF($A306="","",IF($J306="No","",GetMatchingValue($XFD$9,"Original","Control Number",S$2,$A306)))</f>
        <v/>
      </c>
      <c r="T306" s="34" t="str" cm="1">
        <f t="array" ref="T306">IF($A306="","",IF($J306="No","",GetMatchingValue($XFD$9,"Original","Control Number",T$2,$A306)))</f>
        <v/>
      </c>
      <c r="U306" s="34" t="str" cm="1">
        <f t="array" ref="U306">IF($A306="","",IF($J306="No","",GetMatchingValue($XFD$9,"Original","Control Number",U$2,$A306)))</f>
        <v/>
      </c>
      <c r="V306" s="14"/>
      <c r="W306" s="17"/>
      <c r="X306" s="17"/>
      <c r="Y306" s="17"/>
      <c r="Z306" s="13"/>
      <c r="AA306" s="13"/>
      <c r="AB306" s="13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3"/>
    </row>
    <row r="307" spans="1:45" ht="40.5" customHeight="1" x14ac:dyDescent="0.2">
      <c r="A307" s="19"/>
      <c r="B307" s="19"/>
      <c r="C307" s="15"/>
      <c r="D307" s="15"/>
      <c r="E307" s="13"/>
      <c r="F307" s="34" t="str" cm="1">
        <f t="array" ref="F307">IF($A307="","",GetMatchingValue($XFD$8,"Original","Control Number",F$2,$A307))</f>
        <v/>
      </c>
      <c r="G307" s="34" t="str" cm="1">
        <f t="array" ref="G307">IF($A307="","",GetMatchingValue($XFD$8,"Original","Control Number",G$2,$A307))</f>
        <v/>
      </c>
      <c r="H307" s="34" t="str" cm="1">
        <f t="array" ref="H307">IF($A307="","",GetMatchingValue($XFD$8,"Original","Control Number",H$2,$A307))</f>
        <v/>
      </c>
      <c r="I307" s="13"/>
      <c r="J307" s="13" t="str" cm="1">
        <f t="array" ref="J307">IF($A307="","",CheckControlNumberExists($XFD$9, "Original", $A307))</f>
        <v/>
      </c>
      <c r="K307" s="34" t="str" cm="1">
        <f t="array" ref="K307">IF($A307="","",IF($J307="No","",GetMatchingValue($XFD$9,"Original","Control Number",K$2,$A307)))</f>
        <v/>
      </c>
      <c r="L307" s="34" t="str" cm="1">
        <f t="array" ref="L307">IF($A307="","",IF($J307="No","",GetMatchingValue($XFD$9,"Original","Control Number",L$2,$A307)))</f>
        <v/>
      </c>
      <c r="M307" s="13" t="str">
        <f t="shared" ca="1" si="6"/>
        <v/>
      </c>
      <c r="N307" s="16"/>
      <c r="O307" s="34" t="str" cm="1">
        <f t="array" ref="O307">IF($A307="","",IF($J307="No","",GetMatchingValue($XFD$9,"Original","Control Number",O$2,$A307)))</f>
        <v/>
      </c>
      <c r="P307" s="34" t="str" cm="1">
        <f t="array" ref="P307">IF($A307="","",IF($J307="No","",GetMatchingValue($XFD$9,"Original","Control Number",P$2,$A307)))</f>
        <v/>
      </c>
      <c r="Q307" s="34" t="str" cm="1">
        <f t="array" ref="Q307">IF($A307="","",IF($J307="No","",GetMatchingValue($XFD$9,"Original","Control Number",Q$2,$A307)))</f>
        <v/>
      </c>
      <c r="R307" s="34" t="str" cm="1">
        <f t="array" ref="R307">IF($A307="","",IF($J307="No","",GetMatchingValue($XFD$9,"Original","Control Number",R$2,$A307)))</f>
        <v/>
      </c>
      <c r="S307" s="34" t="str" cm="1">
        <f t="array" ref="S307">IF($A307="","",IF($J307="No","",GetMatchingValue($XFD$9,"Original","Control Number",S$2,$A307)))</f>
        <v/>
      </c>
      <c r="T307" s="34" t="str" cm="1">
        <f t="array" ref="T307">IF($A307="","",IF($J307="No","",GetMatchingValue($XFD$9,"Original","Control Number",T$2,$A307)))</f>
        <v/>
      </c>
      <c r="U307" s="34" t="str" cm="1">
        <f t="array" ref="U307">IF($A307="","",IF($J307="No","",GetMatchingValue($XFD$9,"Original","Control Number",U$2,$A307)))</f>
        <v/>
      </c>
      <c r="V307" s="14"/>
      <c r="W307" s="17"/>
      <c r="X307" s="17"/>
      <c r="Y307" s="17"/>
      <c r="Z307" s="13"/>
      <c r="AA307" s="13"/>
      <c r="AB307" s="13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3"/>
    </row>
    <row r="308" spans="1:45" ht="40.5" customHeight="1" x14ac:dyDescent="0.2">
      <c r="A308" s="19"/>
      <c r="B308" s="19"/>
      <c r="C308" s="15"/>
      <c r="D308" s="15"/>
      <c r="E308" s="13"/>
      <c r="F308" s="34" t="str" cm="1">
        <f t="array" ref="F308">IF($A308="","",GetMatchingValue($XFD$8,"Original","Control Number",F$2,$A308))</f>
        <v/>
      </c>
      <c r="G308" s="34" t="str" cm="1">
        <f t="array" ref="G308">IF($A308="","",GetMatchingValue($XFD$8,"Original","Control Number",G$2,$A308))</f>
        <v/>
      </c>
      <c r="H308" s="34" t="str" cm="1">
        <f t="array" ref="H308">IF($A308="","",GetMatchingValue($XFD$8,"Original","Control Number",H$2,$A308))</f>
        <v/>
      </c>
      <c r="I308" s="13"/>
      <c r="J308" s="13" t="str" cm="1">
        <f t="array" ref="J308">IF($A308="","",CheckControlNumberExists($XFD$9, "Original", $A308))</f>
        <v/>
      </c>
      <c r="K308" s="34" t="str" cm="1">
        <f t="array" ref="K308">IF($A308="","",IF($J308="No","",GetMatchingValue($XFD$9,"Original","Control Number",K$2,$A308)))</f>
        <v/>
      </c>
      <c r="L308" s="34" t="str" cm="1">
        <f t="array" ref="L308">IF($A308="","",IF($J308="No","",GetMatchingValue($XFD$9,"Original","Control Number",L$2,$A308)))</f>
        <v/>
      </c>
      <c r="M308" s="13" t="str">
        <f t="shared" ca="1" si="6"/>
        <v/>
      </c>
      <c r="N308" s="16"/>
      <c r="O308" s="34" t="str" cm="1">
        <f t="array" ref="O308">IF($A308="","",IF($J308="No","",GetMatchingValue($XFD$9,"Original","Control Number",O$2,$A308)))</f>
        <v/>
      </c>
      <c r="P308" s="34" t="str" cm="1">
        <f t="array" ref="P308">IF($A308="","",IF($J308="No","",GetMatchingValue($XFD$9,"Original","Control Number",P$2,$A308)))</f>
        <v/>
      </c>
      <c r="Q308" s="34" t="str" cm="1">
        <f t="array" ref="Q308">IF($A308="","",IF($J308="No","",GetMatchingValue($XFD$9,"Original","Control Number",Q$2,$A308)))</f>
        <v/>
      </c>
      <c r="R308" s="34" t="str" cm="1">
        <f t="array" ref="R308">IF($A308="","",IF($J308="No","",GetMatchingValue($XFD$9,"Original","Control Number",R$2,$A308)))</f>
        <v/>
      </c>
      <c r="S308" s="34" t="str" cm="1">
        <f t="array" ref="S308">IF($A308="","",IF($J308="No","",GetMatchingValue($XFD$9,"Original","Control Number",S$2,$A308)))</f>
        <v/>
      </c>
      <c r="T308" s="34" t="str" cm="1">
        <f t="array" ref="T308">IF($A308="","",IF($J308="No","",GetMatchingValue($XFD$9,"Original","Control Number",T$2,$A308)))</f>
        <v/>
      </c>
      <c r="U308" s="34" t="str" cm="1">
        <f t="array" ref="U308">IF($A308="","",IF($J308="No","",GetMatchingValue($XFD$9,"Original","Control Number",U$2,$A308)))</f>
        <v/>
      </c>
      <c r="V308" s="14"/>
      <c r="W308" s="17"/>
      <c r="X308" s="17"/>
      <c r="Y308" s="17"/>
      <c r="Z308" s="13"/>
      <c r="AA308" s="13"/>
      <c r="AB308" s="13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3"/>
    </row>
    <row r="309" spans="1:45" ht="40.5" customHeight="1" x14ac:dyDescent="0.2">
      <c r="A309" s="19"/>
      <c r="B309" s="19"/>
      <c r="C309" s="15"/>
      <c r="D309" s="15"/>
      <c r="E309" s="13"/>
      <c r="F309" s="34" t="str" cm="1">
        <f t="array" ref="F309">IF($A309="","",GetMatchingValue($XFD$8,"Original","Control Number",F$2,$A309))</f>
        <v/>
      </c>
      <c r="G309" s="34" t="str" cm="1">
        <f t="array" ref="G309">IF($A309="","",GetMatchingValue($XFD$8,"Original","Control Number",G$2,$A309))</f>
        <v/>
      </c>
      <c r="H309" s="34" t="str" cm="1">
        <f t="array" ref="H309">IF($A309="","",GetMatchingValue($XFD$8,"Original","Control Number",H$2,$A309))</f>
        <v/>
      </c>
      <c r="I309" s="13"/>
      <c r="J309" s="13" t="str" cm="1">
        <f t="array" ref="J309">IF($A309="","",CheckControlNumberExists($XFD$9, "Original", $A309))</f>
        <v/>
      </c>
      <c r="K309" s="34" t="str" cm="1">
        <f t="array" ref="K309">IF($A309="","",IF($J309="No","",GetMatchingValue($XFD$9,"Original","Control Number",K$2,$A309)))</f>
        <v/>
      </c>
      <c r="L309" s="34" t="str" cm="1">
        <f t="array" ref="L309">IF($A309="","",IF($J309="No","",GetMatchingValue($XFD$9,"Original","Control Number",L$2,$A309)))</f>
        <v/>
      </c>
      <c r="M309" s="13" t="str">
        <f t="shared" ca="1" si="6"/>
        <v/>
      </c>
      <c r="N309" s="16"/>
      <c r="O309" s="34" t="str" cm="1">
        <f t="array" ref="O309">IF($A309="","",IF($J309="No","",GetMatchingValue($XFD$9,"Original","Control Number",O$2,$A309)))</f>
        <v/>
      </c>
      <c r="P309" s="34" t="str" cm="1">
        <f t="array" ref="P309">IF($A309="","",IF($J309="No","",GetMatchingValue($XFD$9,"Original","Control Number",P$2,$A309)))</f>
        <v/>
      </c>
      <c r="Q309" s="34" t="str" cm="1">
        <f t="array" ref="Q309">IF($A309="","",IF($J309="No","",GetMatchingValue($XFD$9,"Original","Control Number",Q$2,$A309)))</f>
        <v/>
      </c>
      <c r="R309" s="34" t="str" cm="1">
        <f t="array" ref="R309">IF($A309="","",IF($J309="No","",GetMatchingValue($XFD$9,"Original","Control Number",R$2,$A309)))</f>
        <v/>
      </c>
      <c r="S309" s="34" t="str" cm="1">
        <f t="array" ref="S309">IF($A309="","",IF($J309="No","",GetMatchingValue($XFD$9,"Original","Control Number",S$2,$A309)))</f>
        <v/>
      </c>
      <c r="T309" s="34" t="str" cm="1">
        <f t="array" ref="T309">IF($A309="","",IF($J309="No","",GetMatchingValue($XFD$9,"Original","Control Number",T$2,$A309)))</f>
        <v/>
      </c>
      <c r="U309" s="34" t="str" cm="1">
        <f t="array" ref="U309">IF($A309="","",IF($J309="No","",GetMatchingValue($XFD$9,"Original","Control Number",U$2,$A309)))</f>
        <v/>
      </c>
      <c r="V309" s="14"/>
      <c r="W309" s="17"/>
      <c r="X309" s="17"/>
      <c r="Y309" s="17"/>
      <c r="Z309" s="13"/>
      <c r="AA309" s="13"/>
      <c r="AB309" s="13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3"/>
    </row>
    <row r="310" spans="1:45" ht="40.5" customHeight="1" x14ac:dyDescent="0.2">
      <c r="A310" s="19"/>
      <c r="B310" s="19"/>
      <c r="C310" s="15"/>
      <c r="D310" s="15"/>
      <c r="E310" s="13"/>
      <c r="F310" s="34" t="str" cm="1">
        <f t="array" ref="F310">IF($A310="","",GetMatchingValue($XFD$8,"Original","Control Number",F$2,$A310))</f>
        <v/>
      </c>
      <c r="G310" s="34" t="str" cm="1">
        <f t="array" ref="G310">IF($A310="","",GetMatchingValue($XFD$8,"Original","Control Number",G$2,$A310))</f>
        <v/>
      </c>
      <c r="H310" s="34" t="str" cm="1">
        <f t="array" ref="H310">IF($A310="","",GetMatchingValue($XFD$8,"Original","Control Number",H$2,$A310))</f>
        <v/>
      </c>
      <c r="I310" s="13"/>
      <c r="J310" s="13" t="str" cm="1">
        <f t="array" ref="J310">IF($A310="","",CheckControlNumberExists($XFD$9, "Original", $A310))</f>
        <v/>
      </c>
      <c r="K310" s="34" t="str" cm="1">
        <f t="array" ref="K310">IF($A310="","",IF($J310="No","",GetMatchingValue($XFD$9,"Original","Control Number",K$2,$A310)))</f>
        <v/>
      </c>
      <c r="L310" s="34" t="str" cm="1">
        <f t="array" ref="L310">IF($A310="","",IF($J310="No","",GetMatchingValue($XFD$9,"Original","Control Number",L$2,$A310)))</f>
        <v/>
      </c>
      <c r="M310" s="13" t="str">
        <f t="shared" ca="1" si="6"/>
        <v/>
      </c>
      <c r="N310" s="16"/>
      <c r="O310" s="34" t="str" cm="1">
        <f t="array" ref="O310">IF($A310="","",IF($J310="No","",GetMatchingValue($XFD$9,"Original","Control Number",O$2,$A310)))</f>
        <v/>
      </c>
      <c r="P310" s="34" t="str" cm="1">
        <f t="array" ref="P310">IF($A310="","",IF($J310="No","",GetMatchingValue($XFD$9,"Original","Control Number",P$2,$A310)))</f>
        <v/>
      </c>
      <c r="Q310" s="34" t="str" cm="1">
        <f t="array" ref="Q310">IF($A310="","",IF($J310="No","",GetMatchingValue($XFD$9,"Original","Control Number",Q$2,$A310)))</f>
        <v/>
      </c>
      <c r="R310" s="34" t="str" cm="1">
        <f t="array" ref="R310">IF($A310="","",IF($J310="No","",GetMatchingValue($XFD$9,"Original","Control Number",R$2,$A310)))</f>
        <v/>
      </c>
      <c r="S310" s="34" t="str" cm="1">
        <f t="array" ref="S310">IF($A310="","",IF($J310="No","",GetMatchingValue($XFD$9,"Original","Control Number",S$2,$A310)))</f>
        <v/>
      </c>
      <c r="T310" s="34" t="str" cm="1">
        <f t="array" ref="T310">IF($A310="","",IF($J310="No","",GetMatchingValue($XFD$9,"Original","Control Number",T$2,$A310)))</f>
        <v/>
      </c>
      <c r="U310" s="34" t="str" cm="1">
        <f t="array" ref="U310">IF($A310="","",IF($J310="No","",GetMatchingValue($XFD$9,"Original","Control Number",U$2,$A310)))</f>
        <v/>
      </c>
      <c r="V310" s="14"/>
      <c r="W310" s="17"/>
      <c r="X310" s="17"/>
      <c r="Y310" s="17"/>
      <c r="Z310" s="13"/>
      <c r="AA310" s="13"/>
      <c r="AB310" s="13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3"/>
    </row>
    <row r="311" spans="1:45" ht="40.5" customHeight="1" x14ac:dyDescent="0.2">
      <c r="A311" s="19"/>
      <c r="B311" s="19"/>
      <c r="C311" s="15"/>
      <c r="D311" s="15"/>
      <c r="E311" s="13"/>
      <c r="F311" s="34" t="str" cm="1">
        <f t="array" ref="F311">IF($A311="","",GetMatchingValue($XFD$8,"Original","Control Number",F$2,$A311))</f>
        <v/>
      </c>
      <c r="G311" s="34" t="str" cm="1">
        <f t="array" ref="G311">IF($A311="","",GetMatchingValue($XFD$8,"Original","Control Number",G$2,$A311))</f>
        <v/>
      </c>
      <c r="H311" s="34" t="str" cm="1">
        <f t="array" ref="H311">IF($A311="","",GetMatchingValue($XFD$8,"Original","Control Number",H$2,$A311))</f>
        <v/>
      </c>
      <c r="I311" s="13"/>
      <c r="J311" s="13" t="str" cm="1">
        <f t="array" ref="J311">IF($A311="","",CheckControlNumberExists($XFD$9, "Original", $A311))</f>
        <v/>
      </c>
      <c r="K311" s="34" t="str" cm="1">
        <f t="array" ref="K311">IF($A311="","",IF($J311="No","",GetMatchingValue($XFD$9,"Original","Control Number",K$2,$A311)))</f>
        <v/>
      </c>
      <c r="L311" s="34" t="str" cm="1">
        <f t="array" ref="L311">IF($A311="","",IF($J311="No","",GetMatchingValue($XFD$9,"Original","Control Number",L$2,$A311)))</f>
        <v/>
      </c>
      <c r="M311" s="13" t="str">
        <f t="shared" ca="1" si="6"/>
        <v/>
      </c>
      <c r="N311" s="16"/>
      <c r="O311" s="34" t="str" cm="1">
        <f t="array" ref="O311">IF($A311="","",IF($J311="No","",GetMatchingValue($XFD$9,"Original","Control Number",O$2,$A311)))</f>
        <v/>
      </c>
      <c r="P311" s="34" t="str" cm="1">
        <f t="array" ref="P311">IF($A311="","",IF($J311="No","",GetMatchingValue($XFD$9,"Original","Control Number",P$2,$A311)))</f>
        <v/>
      </c>
      <c r="Q311" s="34" t="str" cm="1">
        <f t="array" ref="Q311">IF($A311="","",IF($J311="No","",GetMatchingValue($XFD$9,"Original","Control Number",Q$2,$A311)))</f>
        <v/>
      </c>
      <c r="R311" s="34" t="str" cm="1">
        <f t="array" ref="R311">IF($A311="","",IF($J311="No","",GetMatchingValue($XFD$9,"Original","Control Number",R$2,$A311)))</f>
        <v/>
      </c>
      <c r="S311" s="34" t="str" cm="1">
        <f t="array" ref="S311">IF($A311="","",IF($J311="No","",GetMatchingValue($XFD$9,"Original","Control Number",S$2,$A311)))</f>
        <v/>
      </c>
      <c r="T311" s="34" t="str" cm="1">
        <f t="array" ref="T311">IF($A311="","",IF($J311="No","",GetMatchingValue($XFD$9,"Original","Control Number",T$2,$A311)))</f>
        <v/>
      </c>
      <c r="U311" s="34" t="str" cm="1">
        <f t="array" ref="U311">IF($A311="","",IF($J311="No","",GetMatchingValue($XFD$9,"Original","Control Number",U$2,$A311)))</f>
        <v/>
      </c>
      <c r="V311" s="14"/>
      <c r="W311" s="17"/>
      <c r="X311" s="17"/>
      <c r="Y311" s="17"/>
      <c r="Z311" s="13"/>
      <c r="AA311" s="13"/>
      <c r="AB311" s="13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3"/>
    </row>
    <row r="312" spans="1:45" ht="40.5" customHeight="1" x14ac:dyDescent="0.2">
      <c r="A312" s="19"/>
      <c r="B312" s="19"/>
      <c r="C312" s="15"/>
      <c r="D312" s="15"/>
      <c r="E312" s="13"/>
      <c r="F312" s="34" t="str" cm="1">
        <f t="array" ref="F312">IF($A312="","",GetMatchingValue($XFD$8,"Original","Control Number",F$2,$A312))</f>
        <v/>
      </c>
      <c r="G312" s="34" t="str" cm="1">
        <f t="array" ref="G312">IF($A312="","",GetMatchingValue($XFD$8,"Original","Control Number",G$2,$A312))</f>
        <v/>
      </c>
      <c r="H312" s="34" t="str" cm="1">
        <f t="array" ref="H312">IF($A312="","",GetMatchingValue($XFD$8,"Original","Control Number",H$2,$A312))</f>
        <v/>
      </c>
      <c r="I312" s="13"/>
      <c r="J312" s="13" t="str" cm="1">
        <f t="array" ref="J312">IF($A312="","",CheckControlNumberExists($XFD$9, "Original", $A312))</f>
        <v/>
      </c>
      <c r="K312" s="34" t="str" cm="1">
        <f t="array" ref="K312">IF($A312="","",IF($J312="No","",GetMatchingValue($XFD$9,"Original","Control Number",K$2,$A312)))</f>
        <v/>
      </c>
      <c r="L312" s="34" t="str" cm="1">
        <f t="array" ref="L312">IF($A312="","",IF($J312="No","",GetMatchingValue($XFD$9,"Original","Control Number",L$2,$A312)))</f>
        <v/>
      </c>
      <c r="M312" s="13" t="str">
        <f t="shared" ca="1" si="6"/>
        <v/>
      </c>
      <c r="N312" s="16"/>
      <c r="O312" s="34" t="str" cm="1">
        <f t="array" ref="O312">IF($A312="","",IF($J312="No","",GetMatchingValue($XFD$9,"Original","Control Number",O$2,$A312)))</f>
        <v/>
      </c>
      <c r="P312" s="34" t="str" cm="1">
        <f t="array" ref="P312">IF($A312="","",IF($J312="No","",GetMatchingValue($XFD$9,"Original","Control Number",P$2,$A312)))</f>
        <v/>
      </c>
      <c r="Q312" s="34" t="str" cm="1">
        <f t="array" ref="Q312">IF($A312="","",IF($J312="No","",GetMatchingValue($XFD$9,"Original","Control Number",Q$2,$A312)))</f>
        <v/>
      </c>
      <c r="R312" s="34" t="str" cm="1">
        <f t="array" ref="R312">IF($A312="","",IF($J312="No","",GetMatchingValue($XFD$9,"Original","Control Number",R$2,$A312)))</f>
        <v/>
      </c>
      <c r="S312" s="34" t="str" cm="1">
        <f t="array" ref="S312">IF($A312="","",IF($J312="No","",GetMatchingValue($XFD$9,"Original","Control Number",S$2,$A312)))</f>
        <v/>
      </c>
      <c r="T312" s="34" t="str" cm="1">
        <f t="array" ref="T312">IF($A312="","",IF($J312="No","",GetMatchingValue($XFD$9,"Original","Control Number",T$2,$A312)))</f>
        <v/>
      </c>
      <c r="U312" s="34" t="str" cm="1">
        <f t="array" ref="U312">IF($A312="","",IF($J312="No","",GetMatchingValue($XFD$9,"Original","Control Number",U$2,$A312)))</f>
        <v/>
      </c>
      <c r="V312" s="14"/>
      <c r="W312" s="17"/>
      <c r="X312" s="17"/>
      <c r="Y312" s="17"/>
      <c r="Z312" s="13"/>
      <c r="AA312" s="13"/>
      <c r="AB312" s="13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3"/>
    </row>
    <row r="313" spans="1:45" ht="40.5" customHeight="1" x14ac:dyDescent="0.2">
      <c r="A313" s="19"/>
      <c r="B313" s="19"/>
      <c r="C313" s="15"/>
      <c r="D313" s="15"/>
      <c r="E313" s="13"/>
      <c r="F313" s="34" t="str" cm="1">
        <f t="array" ref="F313">IF($A313="","",GetMatchingValue($XFD$8,"Original","Control Number",F$2,$A313))</f>
        <v/>
      </c>
      <c r="G313" s="34" t="str" cm="1">
        <f t="array" ref="G313">IF($A313="","",GetMatchingValue($XFD$8,"Original","Control Number",G$2,$A313))</f>
        <v/>
      </c>
      <c r="H313" s="34" t="str" cm="1">
        <f t="array" ref="H313">IF($A313="","",GetMatchingValue($XFD$8,"Original","Control Number",H$2,$A313))</f>
        <v/>
      </c>
      <c r="I313" s="13"/>
      <c r="J313" s="13" t="str" cm="1">
        <f t="array" ref="J313">IF($A313="","",CheckControlNumberExists($XFD$9, "Original", $A313))</f>
        <v/>
      </c>
      <c r="K313" s="34" t="str" cm="1">
        <f t="array" ref="K313">IF($A313="","",IF($J313="No","",GetMatchingValue($XFD$9,"Original","Control Number",K$2,$A313)))</f>
        <v/>
      </c>
      <c r="L313" s="34" t="str" cm="1">
        <f t="array" ref="L313">IF($A313="","",IF($J313="No","",GetMatchingValue($XFD$9,"Original","Control Number",L$2,$A313)))</f>
        <v/>
      </c>
      <c r="M313" s="13" t="str">
        <f t="shared" ca="1" si="6"/>
        <v/>
      </c>
      <c r="N313" s="16"/>
      <c r="O313" s="34" t="str" cm="1">
        <f t="array" ref="O313">IF($A313="","",IF($J313="No","",GetMatchingValue($XFD$9,"Original","Control Number",O$2,$A313)))</f>
        <v/>
      </c>
      <c r="P313" s="34" t="str" cm="1">
        <f t="array" ref="P313">IF($A313="","",IF($J313="No","",GetMatchingValue($XFD$9,"Original","Control Number",P$2,$A313)))</f>
        <v/>
      </c>
      <c r="Q313" s="34" t="str" cm="1">
        <f t="array" ref="Q313">IF($A313="","",IF($J313="No","",GetMatchingValue($XFD$9,"Original","Control Number",Q$2,$A313)))</f>
        <v/>
      </c>
      <c r="R313" s="34" t="str" cm="1">
        <f t="array" ref="R313">IF($A313="","",IF($J313="No","",GetMatchingValue($XFD$9,"Original","Control Number",R$2,$A313)))</f>
        <v/>
      </c>
      <c r="S313" s="34" t="str" cm="1">
        <f t="array" ref="S313">IF($A313="","",IF($J313="No","",GetMatchingValue($XFD$9,"Original","Control Number",S$2,$A313)))</f>
        <v/>
      </c>
      <c r="T313" s="34" t="str" cm="1">
        <f t="array" ref="T313">IF($A313="","",IF($J313="No","",GetMatchingValue($XFD$9,"Original","Control Number",T$2,$A313)))</f>
        <v/>
      </c>
      <c r="U313" s="34" t="str" cm="1">
        <f t="array" ref="U313">IF($A313="","",IF($J313="No","",GetMatchingValue($XFD$9,"Original","Control Number",U$2,$A313)))</f>
        <v/>
      </c>
      <c r="V313" s="14"/>
      <c r="W313" s="17"/>
      <c r="X313" s="17"/>
      <c r="Y313" s="17"/>
      <c r="Z313" s="13"/>
      <c r="AA313" s="13"/>
      <c r="AB313" s="13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3"/>
    </row>
    <row r="314" spans="1:45" ht="40.5" customHeight="1" x14ac:dyDescent="0.2">
      <c r="A314" s="19"/>
      <c r="B314" s="19"/>
      <c r="C314" s="15"/>
      <c r="D314" s="15"/>
      <c r="E314" s="13"/>
      <c r="F314" s="34" t="str" cm="1">
        <f t="array" ref="F314">IF($A314="","",GetMatchingValue($XFD$8,"Original","Control Number",F$2,$A314))</f>
        <v/>
      </c>
      <c r="G314" s="34" t="str" cm="1">
        <f t="array" ref="G314">IF($A314="","",GetMatchingValue($XFD$8,"Original","Control Number",G$2,$A314))</f>
        <v/>
      </c>
      <c r="H314" s="34" t="str" cm="1">
        <f t="array" ref="H314">IF($A314="","",GetMatchingValue($XFD$8,"Original","Control Number",H$2,$A314))</f>
        <v/>
      </c>
      <c r="I314" s="13"/>
      <c r="J314" s="13" t="str" cm="1">
        <f t="array" ref="J314">IF($A314="","",CheckControlNumberExists($XFD$9, "Original", $A314))</f>
        <v/>
      </c>
      <c r="K314" s="34" t="str" cm="1">
        <f t="array" ref="K314">IF($A314="","",IF($J314="No","",GetMatchingValue($XFD$9,"Original","Control Number",K$2,$A314)))</f>
        <v/>
      </c>
      <c r="L314" s="34" t="str" cm="1">
        <f t="array" ref="L314">IF($A314="","",IF($J314="No","",GetMatchingValue($XFD$9,"Original","Control Number",L$2,$A314)))</f>
        <v/>
      </c>
      <c r="M314" s="13" t="str">
        <f t="shared" ca="1" si="6"/>
        <v/>
      </c>
      <c r="N314" s="16"/>
      <c r="O314" s="34" t="str" cm="1">
        <f t="array" ref="O314">IF($A314="","",IF($J314="No","",GetMatchingValue($XFD$9,"Original","Control Number",O$2,$A314)))</f>
        <v/>
      </c>
      <c r="P314" s="34" t="str" cm="1">
        <f t="array" ref="P314">IF($A314="","",IF($J314="No","",GetMatchingValue($XFD$9,"Original","Control Number",P$2,$A314)))</f>
        <v/>
      </c>
      <c r="Q314" s="34" t="str" cm="1">
        <f t="array" ref="Q314">IF($A314="","",IF($J314="No","",GetMatchingValue($XFD$9,"Original","Control Number",Q$2,$A314)))</f>
        <v/>
      </c>
      <c r="R314" s="34" t="str" cm="1">
        <f t="array" ref="R314">IF($A314="","",IF($J314="No","",GetMatchingValue($XFD$9,"Original","Control Number",R$2,$A314)))</f>
        <v/>
      </c>
      <c r="S314" s="34" t="str" cm="1">
        <f t="array" ref="S314">IF($A314="","",IF($J314="No","",GetMatchingValue($XFD$9,"Original","Control Number",S$2,$A314)))</f>
        <v/>
      </c>
      <c r="T314" s="34" t="str" cm="1">
        <f t="array" ref="T314">IF($A314="","",IF($J314="No","",GetMatchingValue($XFD$9,"Original","Control Number",T$2,$A314)))</f>
        <v/>
      </c>
      <c r="U314" s="34" t="str" cm="1">
        <f t="array" ref="U314">IF($A314="","",IF($J314="No","",GetMatchingValue($XFD$9,"Original","Control Number",U$2,$A314)))</f>
        <v/>
      </c>
      <c r="V314" s="14"/>
      <c r="W314" s="17"/>
      <c r="X314" s="17"/>
      <c r="Y314" s="17"/>
      <c r="Z314" s="13"/>
      <c r="AA314" s="13"/>
      <c r="AB314" s="13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3"/>
    </row>
    <row r="315" spans="1:45" ht="40.5" customHeight="1" x14ac:dyDescent="0.2">
      <c r="A315" s="19"/>
      <c r="B315" s="19"/>
      <c r="C315" s="15"/>
      <c r="D315" s="15"/>
      <c r="E315" s="13"/>
      <c r="F315" s="34" t="str" cm="1">
        <f t="array" ref="F315">IF($A315="","",GetMatchingValue($XFD$8,"Original","Control Number",F$2,$A315))</f>
        <v/>
      </c>
      <c r="G315" s="34" t="str" cm="1">
        <f t="array" ref="G315">IF($A315="","",GetMatchingValue($XFD$8,"Original","Control Number",G$2,$A315))</f>
        <v/>
      </c>
      <c r="H315" s="34" t="str" cm="1">
        <f t="array" ref="H315">IF($A315="","",GetMatchingValue($XFD$8,"Original","Control Number",H$2,$A315))</f>
        <v/>
      </c>
      <c r="I315" s="13"/>
      <c r="J315" s="13" t="str" cm="1">
        <f t="array" ref="J315">IF($A315="","",CheckControlNumberExists($XFD$9, "Original", $A315))</f>
        <v/>
      </c>
      <c r="K315" s="34" t="str" cm="1">
        <f t="array" ref="K315">IF($A315="","",IF($J315="No","",GetMatchingValue($XFD$9,"Original","Control Number",K$2,$A315)))</f>
        <v/>
      </c>
      <c r="L315" s="34" t="str" cm="1">
        <f t="array" ref="L315">IF($A315="","",IF($J315="No","",GetMatchingValue($XFD$9,"Original","Control Number",L$2,$A315)))</f>
        <v/>
      </c>
      <c r="M315" s="13" t="str">
        <f t="shared" ca="1" si="6"/>
        <v/>
      </c>
      <c r="N315" s="16"/>
      <c r="O315" s="34" t="str" cm="1">
        <f t="array" ref="O315">IF($A315="","",IF($J315="No","",GetMatchingValue($XFD$9,"Original","Control Number",O$2,$A315)))</f>
        <v/>
      </c>
      <c r="P315" s="34" t="str" cm="1">
        <f t="array" ref="P315">IF($A315="","",IF($J315="No","",GetMatchingValue($XFD$9,"Original","Control Number",P$2,$A315)))</f>
        <v/>
      </c>
      <c r="Q315" s="34" t="str" cm="1">
        <f t="array" ref="Q315">IF($A315="","",IF($J315="No","",GetMatchingValue($XFD$9,"Original","Control Number",Q$2,$A315)))</f>
        <v/>
      </c>
      <c r="R315" s="34" t="str" cm="1">
        <f t="array" ref="R315">IF($A315="","",IF($J315="No","",GetMatchingValue($XFD$9,"Original","Control Number",R$2,$A315)))</f>
        <v/>
      </c>
      <c r="S315" s="34" t="str" cm="1">
        <f t="array" ref="S315">IF($A315="","",IF($J315="No","",GetMatchingValue($XFD$9,"Original","Control Number",S$2,$A315)))</f>
        <v/>
      </c>
      <c r="T315" s="34" t="str" cm="1">
        <f t="array" ref="T315">IF($A315="","",IF($J315="No","",GetMatchingValue($XFD$9,"Original","Control Number",T$2,$A315)))</f>
        <v/>
      </c>
      <c r="U315" s="34" t="str" cm="1">
        <f t="array" ref="U315">IF($A315="","",IF($J315="No","",GetMatchingValue($XFD$9,"Original","Control Number",U$2,$A315)))</f>
        <v/>
      </c>
      <c r="V315" s="14"/>
      <c r="W315" s="17"/>
      <c r="X315" s="17"/>
      <c r="Y315" s="17"/>
      <c r="Z315" s="13"/>
      <c r="AA315" s="13"/>
      <c r="AB315" s="13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3"/>
    </row>
    <row r="316" spans="1:45" ht="40.5" customHeight="1" x14ac:dyDescent="0.2">
      <c r="A316" s="19"/>
      <c r="B316" s="19"/>
      <c r="C316" s="15"/>
      <c r="D316" s="15"/>
      <c r="E316" s="13"/>
      <c r="F316" s="34" t="str" cm="1">
        <f t="array" ref="F316">IF($A316="","",GetMatchingValue($XFD$8,"Original","Control Number",F$2,$A316))</f>
        <v/>
      </c>
      <c r="G316" s="34" t="str" cm="1">
        <f t="array" ref="G316">IF($A316="","",GetMatchingValue($XFD$8,"Original","Control Number",G$2,$A316))</f>
        <v/>
      </c>
      <c r="H316" s="34" t="str" cm="1">
        <f t="array" ref="H316">IF($A316="","",GetMatchingValue($XFD$8,"Original","Control Number",H$2,$A316))</f>
        <v/>
      </c>
      <c r="I316" s="13"/>
      <c r="J316" s="13" t="str" cm="1">
        <f t="array" ref="J316">IF($A316="","",CheckControlNumberExists($XFD$9, "Original", $A316))</f>
        <v/>
      </c>
      <c r="K316" s="34" t="str" cm="1">
        <f t="array" ref="K316">IF($A316="","",IF($J316="No","",GetMatchingValue($XFD$9,"Original","Control Number",K$2,$A316)))</f>
        <v/>
      </c>
      <c r="L316" s="34" t="str" cm="1">
        <f t="array" ref="L316">IF($A316="","",IF($J316="No","",GetMatchingValue($XFD$9,"Original","Control Number",L$2,$A316)))</f>
        <v/>
      </c>
      <c r="M316" s="13" t="str">
        <f t="shared" ca="1" si="6"/>
        <v/>
      </c>
      <c r="N316" s="16"/>
      <c r="O316" s="34" t="str" cm="1">
        <f t="array" ref="O316">IF($A316="","",IF($J316="No","",GetMatchingValue($XFD$9,"Original","Control Number",O$2,$A316)))</f>
        <v/>
      </c>
      <c r="P316" s="34" t="str" cm="1">
        <f t="array" ref="P316">IF($A316="","",IF($J316="No","",GetMatchingValue($XFD$9,"Original","Control Number",P$2,$A316)))</f>
        <v/>
      </c>
      <c r="Q316" s="34" t="str" cm="1">
        <f t="array" ref="Q316">IF($A316="","",IF($J316="No","",GetMatchingValue($XFD$9,"Original","Control Number",Q$2,$A316)))</f>
        <v/>
      </c>
      <c r="R316" s="34" t="str" cm="1">
        <f t="array" ref="R316">IF($A316="","",IF($J316="No","",GetMatchingValue($XFD$9,"Original","Control Number",R$2,$A316)))</f>
        <v/>
      </c>
      <c r="S316" s="34" t="str" cm="1">
        <f t="array" ref="S316">IF($A316="","",IF($J316="No","",GetMatchingValue($XFD$9,"Original","Control Number",S$2,$A316)))</f>
        <v/>
      </c>
      <c r="T316" s="34" t="str" cm="1">
        <f t="array" ref="T316">IF($A316="","",IF($J316="No","",GetMatchingValue($XFD$9,"Original","Control Number",T$2,$A316)))</f>
        <v/>
      </c>
      <c r="U316" s="34" t="str" cm="1">
        <f t="array" ref="U316">IF($A316="","",IF($J316="No","",GetMatchingValue($XFD$9,"Original","Control Number",U$2,$A316)))</f>
        <v/>
      </c>
      <c r="V316" s="14"/>
      <c r="W316" s="17"/>
      <c r="X316" s="17"/>
      <c r="Y316" s="17"/>
      <c r="Z316" s="13"/>
      <c r="AA316" s="13"/>
      <c r="AB316" s="13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3"/>
    </row>
    <row r="317" spans="1:45" ht="40.5" customHeight="1" x14ac:dyDescent="0.2">
      <c r="A317" s="19"/>
      <c r="B317" s="19"/>
      <c r="C317" s="15"/>
      <c r="D317" s="15"/>
      <c r="E317" s="13"/>
      <c r="F317" s="34" t="str" cm="1">
        <f t="array" ref="F317">IF($A317="","",GetMatchingValue($XFD$8,"Original","Control Number",F$2,$A317))</f>
        <v/>
      </c>
      <c r="G317" s="34" t="str" cm="1">
        <f t="array" ref="G317">IF($A317="","",GetMatchingValue($XFD$8,"Original","Control Number",G$2,$A317))</f>
        <v/>
      </c>
      <c r="H317" s="34" t="str" cm="1">
        <f t="array" ref="H317">IF($A317="","",GetMatchingValue($XFD$8,"Original","Control Number",H$2,$A317))</f>
        <v/>
      </c>
      <c r="I317" s="13"/>
      <c r="J317" s="13" t="str" cm="1">
        <f t="array" ref="J317">IF($A317="","",CheckControlNumberExists($XFD$9, "Original", $A317))</f>
        <v/>
      </c>
      <c r="K317" s="34" t="str" cm="1">
        <f t="array" ref="K317">IF($A317="","",IF($J317="No","",GetMatchingValue($XFD$9,"Original","Control Number",K$2,$A317)))</f>
        <v/>
      </c>
      <c r="L317" s="34" t="str" cm="1">
        <f t="array" ref="L317">IF($A317="","",IF($J317="No","",GetMatchingValue($XFD$9,"Original","Control Number",L$2,$A317)))</f>
        <v/>
      </c>
      <c r="M317" s="13" t="str">
        <f t="shared" ca="1" si="6"/>
        <v/>
      </c>
      <c r="N317" s="16"/>
      <c r="O317" s="34" t="str" cm="1">
        <f t="array" ref="O317">IF($A317="","",IF($J317="No","",GetMatchingValue($XFD$9,"Original","Control Number",O$2,$A317)))</f>
        <v/>
      </c>
      <c r="P317" s="34" t="str" cm="1">
        <f t="array" ref="P317">IF($A317="","",IF($J317="No","",GetMatchingValue($XFD$9,"Original","Control Number",P$2,$A317)))</f>
        <v/>
      </c>
      <c r="Q317" s="34" t="str" cm="1">
        <f t="array" ref="Q317">IF($A317="","",IF($J317="No","",GetMatchingValue($XFD$9,"Original","Control Number",Q$2,$A317)))</f>
        <v/>
      </c>
      <c r="R317" s="34" t="str" cm="1">
        <f t="array" ref="R317">IF($A317="","",IF($J317="No","",GetMatchingValue($XFD$9,"Original","Control Number",R$2,$A317)))</f>
        <v/>
      </c>
      <c r="S317" s="34" t="str" cm="1">
        <f t="array" ref="S317">IF($A317="","",IF($J317="No","",GetMatchingValue($XFD$9,"Original","Control Number",S$2,$A317)))</f>
        <v/>
      </c>
      <c r="T317" s="34" t="str" cm="1">
        <f t="array" ref="T317">IF($A317="","",IF($J317="No","",GetMatchingValue($XFD$9,"Original","Control Number",T$2,$A317)))</f>
        <v/>
      </c>
      <c r="U317" s="34" t="str" cm="1">
        <f t="array" ref="U317">IF($A317="","",IF($J317="No","",GetMatchingValue($XFD$9,"Original","Control Number",U$2,$A317)))</f>
        <v/>
      </c>
      <c r="V317" s="14"/>
      <c r="W317" s="17"/>
      <c r="X317" s="17"/>
      <c r="Y317" s="17"/>
      <c r="Z317" s="13"/>
      <c r="AA317" s="13"/>
      <c r="AB317" s="13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3"/>
    </row>
    <row r="318" spans="1:45" ht="40.5" customHeight="1" x14ac:dyDescent="0.2">
      <c r="A318" s="19"/>
      <c r="B318" s="19"/>
      <c r="C318" s="15"/>
      <c r="D318" s="15"/>
      <c r="E318" s="13"/>
      <c r="F318" s="34" t="str" cm="1">
        <f t="array" ref="F318">IF($A318="","",GetMatchingValue($XFD$8,"Original","Control Number",F$2,$A318))</f>
        <v/>
      </c>
      <c r="G318" s="34" t="str" cm="1">
        <f t="array" ref="G318">IF($A318="","",GetMatchingValue($XFD$8,"Original","Control Number",G$2,$A318))</f>
        <v/>
      </c>
      <c r="H318" s="34" t="str" cm="1">
        <f t="array" ref="H318">IF($A318="","",GetMatchingValue($XFD$8,"Original","Control Number",H$2,$A318))</f>
        <v/>
      </c>
      <c r="I318" s="13"/>
      <c r="J318" s="13" t="str" cm="1">
        <f t="array" ref="J318">IF($A318="","",CheckControlNumberExists($XFD$9, "Original", $A318))</f>
        <v/>
      </c>
      <c r="K318" s="34" t="str" cm="1">
        <f t="array" ref="K318">IF($A318="","",IF($J318="No","",GetMatchingValue($XFD$9,"Original","Control Number",K$2,$A318)))</f>
        <v/>
      </c>
      <c r="L318" s="34" t="str" cm="1">
        <f t="array" ref="L318">IF($A318="","",IF($J318="No","",GetMatchingValue($XFD$9,"Original","Control Number",L$2,$A318)))</f>
        <v/>
      </c>
      <c r="M318" s="13" t="str">
        <f t="shared" ca="1" si="6"/>
        <v/>
      </c>
      <c r="N318" s="16"/>
      <c r="O318" s="34" t="str" cm="1">
        <f t="array" ref="O318">IF($A318="","",IF($J318="No","",GetMatchingValue($XFD$9,"Original","Control Number",O$2,$A318)))</f>
        <v/>
      </c>
      <c r="P318" s="34" t="str" cm="1">
        <f t="array" ref="P318">IF($A318="","",IF($J318="No","",GetMatchingValue($XFD$9,"Original","Control Number",P$2,$A318)))</f>
        <v/>
      </c>
      <c r="Q318" s="34" t="str" cm="1">
        <f t="array" ref="Q318">IF($A318="","",IF($J318="No","",GetMatchingValue($XFD$9,"Original","Control Number",Q$2,$A318)))</f>
        <v/>
      </c>
      <c r="R318" s="34" t="str" cm="1">
        <f t="array" ref="R318">IF($A318="","",IF($J318="No","",GetMatchingValue($XFD$9,"Original","Control Number",R$2,$A318)))</f>
        <v/>
      </c>
      <c r="S318" s="34" t="str" cm="1">
        <f t="array" ref="S318">IF($A318="","",IF($J318="No","",GetMatchingValue($XFD$9,"Original","Control Number",S$2,$A318)))</f>
        <v/>
      </c>
      <c r="T318" s="34" t="str" cm="1">
        <f t="array" ref="T318">IF($A318="","",IF($J318="No","",GetMatchingValue($XFD$9,"Original","Control Number",T$2,$A318)))</f>
        <v/>
      </c>
      <c r="U318" s="34" t="str" cm="1">
        <f t="array" ref="U318">IF($A318="","",IF($J318="No","",GetMatchingValue($XFD$9,"Original","Control Number",U$2,$A318)))</f>
        <v/>
      </c>
      <c r="V318" s="14"/>
      <c r="W318" s="17"/>
      <c r="X318" s="17"/>
      <c r="Y318" s="17"/>
      <c r="Z318" s="13"/>
      <c r="AA318" s="13"/>
      <c r="AB318" s="13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3"/>
    </row>
    <row r="319" spans="1:45" ht="40.5" customHeight="1" x14ac:dyDescent="0.2">
      <c r="A319" s="19"/>
      <c r="B319" s="19"/>
      <c r="C319" s="15"/>
      <c r="D319" s="15"/>
      <c r="E319" s="13"/>
      <c r="F319" s="34" t="str" cm="1">
        <f t="array" ref="F319">IF($A319="","",GetMatchingValue($XFD$8,"Original","Control Number",F$2,$A319))</f>
        <v/>
      </c>
      <c r="G319" s="34" t="str" cm="1">
        <f t="array" ref="G319">IF($A319="","",GetMatchingValue($XFD$8,"Original","Control Number",G$2,$A319))</f>
        <v/>
      </c>
      <c r="H319" s="34" t="str" cm="1">
        <f t="array" ref="H319">IF($A319="","",GetMatchingValue($XFD$8,"Original","Control Number",H$2,$A319))</f>
        <v/>
      </c>
      <c r="I319" s="13"/>
      <c r="J319" s="13" t="str" cm="1">
        <f t="array" ref="J319">IF($A319="","",CheckControlNumberExists($XFD$9, "Original", $A319))</f>
        <v/>
      </c>
      <c r="K319" s="34" t="str" cm="1">
        <f t="array" ref="K319">IF($A319="","",IF($J319="No","",GetMatchingValue($XFD$9,"Original","Control Number",K$2,$A319)))</f>
        <v/>
      </c>
      <c r="L319" s="34" t="str" cm="1">
        <f t="array" ref="L319">IF($A319="","",IF($J319="No","",GetMatchingValue($XFD$9,"Original","Control Number",L$2,$A319)))</f>
        <v/>
      </c>
      <c r="M319" s="13" t="str">
        <f t="shared" ca="1" si="6"/>
        <v/>
      </c>
      <c r="N319" s="16"/>
      <c r="O319" s="34" t="str" cm="1">
        <f t="array" ref="O319">IF($A319="","",IF($J319="No","",GetMatchingValue($XFD$9,"Original","Control Number",O$2,$A319)))</f>
        <v/>
      </c>
      <c r="P319" s="34" t="str" cm="1">
        <f t="array" ref="P319">IF($A319="","",IF($J319="No","",GetMatchingValue($XFD$9,"Original","Control Number",P$2,$A319)))</f>
        <v/>
      </c>
      <c r="Q319" s="34" t="str" cm="1">
        <f t="array" ref="Q319">IF($A319="","",IF($J319="No","",GetMatchingValue($XFD$9,"Original","Control Number",Q$2,$A319)))</f>
        <v/>
      </c>
      <c r="R319" s="34" t="str" cm="1">
        <f t="array" ref="R319">IF($A319="","",IF($J319="No","",GetMatchingValue($XFD$9,"Original","Control Number",R$2,$A319)))</f>
        <v/>
      </c>
      <c r="S319" s="34" t="str" cm="1">
        <f t="array" ref="S319">IF($A319="","",IF($J319="No","",GetMatchingValue($XFD$9,"Original","Control Number",S$2,$A319)))</f>
        <v/>
      </c>
      <c r="T319" s="34" t="str" cm="1">
        <f t="array" ref="T319">IF($A319="","",IF($J319="No","",GetMatchingValue($XFD$9,"Original","Control Number",T$2,$A319)))</f>
        <v/>
      </c>
      <c r="U319" s="34" t="str" cm="1">
        <f t="array" ref="U319">IF($A319="","",IF($J319="No","",GetMatchingValue($XFD$9,"Original","Control Number",U$2,$A319)))</f>
        <v/>
      </c>
      <c r="V319" s="14"/>
      <c r="W319" s="17"/>
      <c r="X319" s="17"/>
      <c r="Y319" s="17"/>
      <c r="Z319" s="13"/>
      <c r="AA319" s="13"/>
      <c r="AB319" s="13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3"/>
    </row>
    <row r="320" spans="1:45" ht="40.5" customHeight="1" x14ac:dyDescent="0.2">
      <c r="A320" s="19"/>
      <c r="B320" s="19"/>
      <c r="C320" s="15"/>
      <c r="D320" s="15"/>
      <c r="E320" s="13"/>
      <c r="F320" s="34" t="str" cm="1">
        <f t="array" ref="F320">IF($A320="","",GetMatchingValue($XFD$8,"Original","Control Number",F$2,$A320))</f>
        <v/>
      </c>
      <c r="G320" s="34" t="str" cm="1">
        <f t="array" ref="G320">IF($A320="","",GetMatchingValue($XFD$8,"Original","Control Number",G$2,$A320))</f>
        <v/>
      </c>
      <c r="H320" s="34" t="str" cm="1">
        <f t="array" ref="H320">IF($A320="","",GetMatchingValue($XFD$8,"Original","Control Number",H$2,$A320))</f>
        <v/>
      </c>
      <c r="I320" s="13"/>
      <c r="J320" s="13" t="str" cm="1">
        <f t="array" ref="J320">IF($A320="","",CheckControlNumberExists($XFD$9, "Original", $A320))</f>
        <v/>
      </c>
      <c r="K320" s="34" t="str" cm="1">
        <f t="array" ref="K320">IF($A320="","",IF($J320="No","",GetMatchingValue($XFD$9,"Original","Control Number",K$2,$A320)))</f>
        <v/>
      </c>
      <c r="L320" s="34" t="str" cm="1">
        <f t="array" ref="L320">IF($A320="","",IF($J320="No","",GetMatchingValue($XFD$9,"Original","Control Number",L$2,$A320)))</f>
        <v/>
      </c>
      <c r="M320" s="13" t="str">
        <f t="shared" ca="1" si="6"/>
        <v/>
      </c>
      <c r="N320" s="16"/>
      <c r="O320" s="34" t="str" cm="1">
        <f t="array" ref="O320">IF($A320="","",IF($J320="No","",GetMatchingValue($XFD$9,"Original","Control Number",O$2,$A320)))</f>
        <v/>
      </c>
      <c r="P320" s="34" t="str" cm="1">
        <f t="array" ref="P320">IF($A320="","",IF($J320="No","",GetMatchingValue($XFD$9,"Original","Control Number",P$2,$A320)))</f>
        <v/>
      </c>
      <c r="Q320" s="34" t="str" cm="1">
        <f t="array" ref="Q320">IF($A320="","",IF($J320="No","",GetMatchingValue($XFD$9,"Original","Control Number",Q$2,$A320)))</f>
        <v/>
      </c>
      <c r="R320" s="34" t="str" cm="1">
        <f t="array" ref="R320">IF($A320="","",IF($J320="No","",GetMatchingValue($XFD$9,"Original","Control Number",R$2,$A320)))</f>
        <v/>
      </c>
      <c r="S320" s="34" t="str" cm="1">
        <f t="array" ref="S320">IF($A320="","",IF($J320="No","",GetMatchingValue($XFD$9,"Original","Control Number",S$2,$A320)))</f>
        <v/>
      </c>
      <c r="T320" s="34" t="str" cm="1">
        <f t="array" ref="T320">IF($A320="","",IF($J320="No","",GetMatchingValue($XFD$9,"Original","Control Number",T$2,$A320)))</f>
        <v/>
      </c>
      <c r="U320" s="34" t="str" cm="1">
        <f t="array" ref="U320">IF($A320="","",IF($J320="No","",GetMatchingValue($XFD$9,"Original","Control Number",U$2,$A320)))</f>
        <v/>
      </c>
      <c r="V320" s="14"/>
      <c r="W320" s="17"/>
      <c r="X320" s="17"/>
      <c r="Y320" s="17"/>
      <c r="Z320" s="13"/>
      <c r="AA320" s="13"/>
      <c r="AB320" s="13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3"/>
    </row>
    <row r="321" spans="1:45" ht="40.5" customHeight="1" x14ac:dyDescent="0.2">
      <c r="A321" s="19"/>
      <c r="B321" s="19"/>
      <c r="C321" s="15"/>
      <c r="D321" s="15"/>
      <c r="E321" s="13"/>
      <c r="F321" s="34" t="str" cm="1">
        <f t="array" ref="F321">IF($A321="","",GetMatchingValue($XFD$8,"Original","Control Number",F$2,$A321))</f>
        <v/>
      </c>
      <c r="G321" s="34" t="str" cm="1">
        <f t="array" ref="G321">IF($A321="","",GetMatchingValue($XFD$8,"Original","Control Number",G$2,$A321))</f>
        <v/>
      </c>
      <c r="H321" s="34" t="str" cm="1">
        <f t="array" ref="H321">IF($A321="","",GetMatchingValue($XFD$8,"Original","Control Number",H$2,$A321))</f>
        <v/>
      </c>
      <c r="I321" s="13"/>
      <c r="J321" s="13" t="str" cm="1">
        <f t="array" ref="J321">IF($A321="","",CheckControlNumberExists($XFD$9, "Original", $A321))</f>
        <v/>
      </c>
      <c r="K321" s="34" t="str" cm="1">
        <f t="array" ref="K321">IF($A321="","",IF($J321="No","",GetMatchingValue($XFD$9,"Original","Control Number",K$2,$A321)))</f>
        <v/>
      </c>
      <c r="L321" s="34" t="str" cm="1">
        <f t="array" ref="L321">IF($A321="","",IF($J321="No","",GetMatchingValue($XFD$9,"Original","Control Number",L$2,$A321)))</f>
        <v/>
      </c>
      <c r="M321" s="13" t="str">
        <f t="shared" ca="1" si="6"/>
        <v/>
      </c>
      <c r="N321" s="16"/>
      <c r="O321" s="34" t="str" cm="1">
        <f t="array" ref="O321">IF($A321="","",IF($J321="No","",GetMatchingValue($XFD$9,"Original","Control Number",O$2,$A321)))</f>
        <v/>
      </c>
      <c r="P321" s="34" t="str" cm="1">
        <f t="array" ref="P321">IF($A321="","",IF($J321="No","",GetMatchingValue($XFD$9,"Original","Control Number",P$2,$A321)))</f>
        <v/>
      </c>
      <c r="Q321" s="34" t="str" cm="1">
        <f t="array" ref="Q321">IF($A321="","",IF($J321="No","",GetMatchingValue($XFD$9,"Original","Control Number",Q$2,$A321)))</f>
        <v/>
      </c>
      <c r="R321" s="34" t="str" cm="1">
        <f t="array" ref="R321">IF($A321="","",IF($J321="No","",GetMatchingValue($XFD$9,"Original","Control Number",R$2,$A321)))</f>
        <v/>
      </c>
      <c r="S321" s="34" t="str" cm="1">
        <f t="array" ref="S321">IF($A321="","",IF($J321="No","",GetMatchingValue($XFD$9,"Original","Control Number",S$2,$A321)))</f>
        <v/>
      </c>
      <c r="T321" s="34" t="str" cm="1">
        <f t="array" ref="T321">IF($A321="","",IF($J321="No","",GetMatchingValue($XFD$9,"Original","Control Number",T$2,$A321)))</f>
        <v/>
      </c>
      <c r="U321" s="34" t="str" cm="1">
        <f t="array" ref="U321">IF($A321="","",IF($J321="No","",GetMatchingValue($XFD$9,"Original","Control Number",U$2,$A321)))</f>
        <v/>
      </c>
      <c r="V321" s="14"/>
      <c r="W321" s="17"/>
      <c r="X321" s="17"/>
      <c r="Y321" s="17"/>
      <c r="Z321" s="13"/>
      <c r="AA321" s="13"/>
      <c r="AB321" s="13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3"/>
    </row>
    <row r="322" spans="1:45" ht="40.5" customHeight="1" x14ac:dyDescent="0.2">
      <c r="A322" s="19"/>
      <c r="B322" s="19"/>
      <c r="C322" s="15"/>
      <c r="D322" s="15"/>
      <c r="E322" s="13"/>
      <c r="F322" s="34" t="str" cm="1">
        <f t="array" ref="F322">IF($A322="","",GetMatchingValue($XFD$8,"Original","Control Number",F$2,$A322))</f>
        <v/>
      </c>
      <c r="G322" s="34" t="str" cm="1">
        <f t="array" ref="G322">IF($A322="","",GetMatchingValue($XFD$8,"Original","Control Number",G$2,$A322))</f>
        <v/>
      </c>
      <c r="H322" s="34" t="str" cm="1">
        <f t="array" ref="H322">IF($A322="","",GetMatchingValue($XFD$8,"Original","Control Number",H$2,$A322))</f>
        <v/>
      </c>
      <c r="I322" s="13"/>
      <c r="J322" s="13" t="str" cm="1">
        <f t="array" ref="J322">IF($A322="","",CheckControlNumberExists($XFD$9, "Original", $A322))</f>
        <v/>
      </c>
      <c r="K322" s="34" t="str" cm="1">
        <f t="array" ref="K322">IF($A322="","",IF($J322="No","",GetMatchingValue($XFD$9,"Original","Control Number",K$2,$A322)))</f>
        <v/>
      </c>
      <c r="L322" s="34" t="str" cm="1">
        <f t="array" ref="L322">IF($A322="","",IF($J322="No","",GetMatchingValue($XFD$9,"Original","Control Number",L$2,$A322)))</f>
        <v/>
      </c>
      <c r="M322" s="13" t="str">
        <f t="shared" ca="1" si="6"/>
        <v/>
      </c>
      <c r="N322" s="16"/>
      <c r="O322" s="34" t="str" cm="1">
        <f t="array" ref="O322">IF($A322="","",IF($J322="No","",GetMatchingValue($XFD$9,"Original","Control Number",O$2,$A322)))</f>
        <v/>
      </c>
      <c r="P322" s="34" t="str" cm="1">
        <f t="array" ref="P322">IF($A322="","",IF($J322="No","",GetMatchingValue($XFD$9,"Original","Control Number",P$2,$A322)))</f>
        <v/>
      </c>
      <c r="Q322" s="34" t="str" cm="1">
        <f t="array" ref="Q322">IF($A322="","",IF($J322="No","",GetMatchingValue($XFD$9,"Original","Control Number",Q$2,$A322)))</f>
        <v/>
      </c>
      <c r="R322" s="34" t="str" cm="1">
        <f t="array" ref="R322">IF($A322="","",IF($J322="No","",GetMatchingValue($XFD$9,"Original","Control Number",R$2,$A322)))</f>
        <v/>
      </c>
      <c r="S322" s="34" t="str" cm="1">
        <f t="array" ref="S322">IF($A322="","",IF($J322="No","",GetMatchingValue($XFD$9,"Original","Control Number",S$2,$A322)))</f>
        <v/>
      </c>
      <c r="T322" s="34" t="str" cm="1">
        <f t="array" ref="T322">IF($A322="","",IF($J322="No","",GetMatchingValue($XFD$9,"Original","Control Number",T$2,$A322)))</f>
        <v/>
      </c>
      <c r="U322" s="34" t="str" cm="1">
        <f t="array" ref="U322">IF($A322="","",IF($J322="No","",GetMatchingValue($XFD$9,"Original","Control Number",U$2,$A322)))</f>
        <v/>
      </c>
      <c r="V322" s="14"/>
      <c r="W322" s="17"/>
      <c r="X322" s="17"/>
      <c r="Y322" s="17"/>
      <c r="Z322" s="13"/>
      <c r="AA322" s="13"/>
      <c r="AB322" s="13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3"/>
    </row>
    <row r="323" spans="1:45" ht="40.5" customHeight="1" x14ac:dyDescent="0.2">
      <c r="A323" s="19"/>
      <c r="B323" s="19"/>
      <c r="C323" s="15"/>
      <c r="D323" s="15"/>
      <c r="E323" s="13"/>
      <c r="F323" s="34" t="str" cm="1">
        <f t="array" ref="F323">IF($A323="","",GetMatchingValue($XFD$8,"Original","Control Number",F$2,$A323))</f>
        <v/>
      </c>
      <c r="G323" s="34" t="str" cm="1">
        <f t="array" ref="G323">IF($A323="","",GetMatchingValue($XFD$8,"Original","Control Number",G$2,$A323))</f>
        <v/>
      </c>
      <c r="H323" s="34" t="str" cm="1">
        <f t="array" ref="H323">IF($A323="","",GetMatchingValue($XFD$8,"Original","Control Number",H$2,$A323))</f>
        <v/>
      </c>
      <c r="I323" s="13"/>
      <c r="J323" s="13" t="str" cm="1">
        <f t="array" ref="J323">IF($A323="","",CheckControlNumberExists($XFD$9, "Original", $A323))</f>
        <v/>
      </c>
      <c r="K323" s="34" t="str" cm="1">
        <f t="array" ref="K323">IF($A323="","",IF($J323="No","",GetMatchingValue($XFD$9,"Original","Control Number",K$2,$A323)))</f>
        <v/>
      </c>
      <c r="L323" s="34" t="str" cm="1">
        <f t="array" ref="L323">IF($A323="","",IF($J323="No","",GetMatchingValue($XFD$9,"Original","Control Number",L$2,$A323)))</f>
        <v/>
      </c>
      <c r="M323" s="13" t="str">
        <f t="shared" ca="1" si="6"/>
        <v/>
      </c>
      <c r="N323" s="16"/>
      <c r="O323" s="34" t="str" cm="1">
        <f t="array" ref="O323">IF($A323="","",IF($J323="No","",GetMatchingValue($XFD$9,"Original","Control Number",O$2,$A323)))</f>
        <v/>
      </c>
      <c r="P323" s="34" t="str" cm="1">
        <f t="array" ref="P323">IF($A323="","",IF($J323="No","",GetMatchingValue($XFD$9,"Original","Control Number",P$2,$A323)))</f>
        <v/>
      </c>
      <c r="Q323" s="34" t="str" cm="1">
        <f t="array" ref="Q323">IF($A323="","",IF($J323="No","",GetMatchingValue($XFD$9,"Original","Control Number",Q$2,$A323)))</f>
        <v/>
      </c>
      <c r="R323" s="34" t="str" cm="1">
        <f t="array" ref="R323">IF($A323="","",IF($J323="No","",GetMatchingValue($XFD$9,"Original","Control Number",R$2,$A323)))</f>
        <v/>
      </c>
      <c r="S323" s="34" t="str" cm="1">
        <f t="array" ref="S323">IF($A323="","",IF($J323="No","",GetMatchingValue($XFD$9,"Original","Control Number",S$2,$A323)))</f>
        <v/>
      </c>
      <c r="T323" s="34" t="str" cm="1">
        <f t="array" ref="T323">IF($A323="","",IF($J323="No","",GetMatchingValue($XFD$9,"Original","Control Number",T$2,$A323)))</f>
        <v/>
      </c>
      <c r="U323" s="34" t="str" cm="1">
        <f t="array" ref="U323">IF($A323="","",IF($J323="No","",GetMatchingValue($XFD$9,"Original","Control Number",U$2,$A323)))</f>
        <v/>
      </c>
      <c r="V323" s="14"/>
      <c r="W323" s="17"/>
      <c r="X323" s="17"/>
      <c r="Y323" s="17"/>
      <c r="Z323" s="13"/>
      <c r="AA323" s="13"/>
      <c r="AB323" s="13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3"/>
    </row>
    <row r="324" spans="1:45" ht="40.5" customHeight="1" x14ac:dyDescent="0.2">
      <c r="A324" s="19"/>
      <c r="B324" s="19"/>
      <c r="C324" s="15"/>
      <c r="D324" s="15"/>
      <c r="E324" s="13"/>
      <c r="F324" s="34" t="str" cm="1">
        <f t="array" ref="F324">IF($A324="","",GetMatchingValue($XFD$8,"Original","Control Number",F$2,$A324))</f>
        <v/>
      </c>
      <c r="G324" s="34" t="str" cm="1">
        <f t="array" ref="G324">IF($A324="","",GetMatchingValue($XFD$8,"Original","Control Number",G$2,$A324))</f>
        <v/>
      </c>
      <c r="H324" s="34" t="str" cm="1">
        <f t="array" ref="H324">IF($A324="","",GetMatchingValue($XFD$8,"Original","Control Number",H$2,$A324))</f>
        <v/>
      </c>
      <c r="I324" s="13"/>
      <c r="J324" s="13" t="str" cm="1">
        <f t="array" ref="J324">IF($A324="","",CheckControlNumberExists($XFD$9, "Original", $A324))</f>
        <v/>
      </c>
      <c r="K324" s="34" t="str" cm="1">
        <f t="array" ref="K324">IF($A324="","",IF($J324="No","",GetMatchingValue($XFD$9,"Original","Control Number",K$2,$A324)))</f>
        <v/>
      </c>
      <c r="L324" s="34" t="str" cm="1">
        <f t="array" ref="L324">IF($A324="","",IF($J324="No","",GetMatchingValue($XFD$9,"Original","Control Number",L$2,$A324)))</f>
        <v/>
      </c>
      <c r="M324" s="13" t="str">
        <f t="shared" ca="1" si="6"/>
        <v/>
      </c>
      <c r="N324" s="16"/>
      <c r="O324" s="34" t="str" cm="1">
        <f t="array" ref="O324">IF($A324="","",IF($J324="No","",GetMatchingValue($XFD$9,"Original","Control Number",O$2,$A324)))</f>
        <v/>
      </c>
      <c r="P324" s="34" t="str" cm="1">
        <f t="array" ref="P324">IF($A324="","",IF($J324="No","",GetMatchingValue($XFD$9,"Original","Control Number",P$2,$A324)))</f>
        <v/>
      </c>
      <c r="Q324" s="34" t="str" cm="1">
        <f t="array" ref="Q324">IF($A324="","",IF($J324="No","",GetMatchingValue($XFD$9,"Original","Control Number",Q$2,$A324)))</f>
        <v/>
      </c>
      <c r="R324" s="34" t="str" cm="1">
        <f t="array" ref="R324">IF($A324="","",IF($J324="No","",GetMatchingValue($XFD$9,"Original","Control Number",R$2,$A324)))</f>
        <v/>
      </c>
      <c r="S324" s="34" t="str" cm="1">
        <f t="array" ref="S324">IF($A324="","",IF($J324="No","",GetMatchingValue($XFD$9,"Original","Control Number",S$2,$A324)))</f>
        <v/>
      </c>
      <c r="T324" s="34" t="str" cm="1">
        <f t="array" ref="T324">IF($A324="","",IF($J324="No","",GetMatchingValue($XFD$9,"Original","Control Number",T$2,$A324)))</f>
        <v/>
      </c>
      <c r="U324" s="34" t="str" cm="1">
        <f t="array" ref="U324">IF($A324="","",IF($J324="No","",GetMatchingValue($XFD$9,"Original","Control Number",U$2,$A324)))</f>
        <v/>
      </c>
      <c r="V324" s="14"/>
      <c r="W324" s="17"/>
      <c r="X324" s="17"/>
      <c r="Y324" s="17"/>
      <c r="Z324" s="13"/>
      <c r="AA324" s="13"/>
      <c r="AB324" s="13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3"/>
    </row>
    <row r="325" spans="1:45" ht="40.5" customHeight="1" x14ac:dyDescent="0.2">
      <c r="A325" s="19"/>
      <c r="B325" s="19"/>
      <c r="C325" s="15"/>
      <c r="D325" s="15"/>
      <c r="E325" s="13"/>
      <c r="F325" s="34" t="str" cm="1">
        <f t="array" ref="F325">IF($A325="","",GetMatchingValue($XFD$8,"Original","Control Number",F$2,$A325))</f>
        <v/>
      </c>
      <c r="G325" s="34" t="str" cm="1">
        <f t="array" ref="G325">IF($A325="","",GetMatchingValue($XFD$8,"Original","Control Number",G$2,$A325))</f>
        <v/>
      </c>
      <c r="H325" s="34" t="str" cm="1">
        <f t="array" ref="H325">IF($A325="","",GetMatchingValue($XFD$8,"Original","Control Number",H$2,$A325))</f>
        <v/>
      </c>
      <c r="I325" s="13"/>
      <c r="J325" s="13" t="str" cm="1">
        <f t="array" ref="J325">IF($A325="","",CheckControlNumberExists($XFD$9, "Original", $A325))</f>
        <v/>
      </c>
      <c r="K325" s="34" t="str" cm="1">
        <f t="array" ref="K325">IF($A325="","",IF($J325="No","",GetMatchingValue($XFD$9,"Original","Control Number",K$2,$A325)))</f>
        <v/>
      </c>
      <c r="L325" s="34" t="str" cm="1">
        <f t="array" ref="L325">IF($A325="","",IF($J325="No","",GetMatchingValue($XFD$9,"Original","Control Number",L$2,$A325)))</f>
        <v/>
      </c>
      <c r="M325" s="13" t="str">
        <f t="shared" ca="1" si="6"/>
        <v/>
      </c>
      <c r="N325" s="16"/>
      <c r="O325" s="34" t="str" cm="1">
        <f t="array" ref="O325">IF($A325="","",IF($J325="No","",GetMatchingValue($XFD$9,"Original","Control Number",O$2,$A325)))</f>
        <v/>
      </c>
      <c r="P325" s="34" t="str" cm="1">
        <f t="array" ref="P325">IF($A325="","",IF($J325="No","",GetMatchingValue($XFD$9,"Original","Control Number",P$2,$A325)))</f>
        <v/>
      </c>
      <c r="Q325" s="34" t="str" cm="1">
        <f t="array" ref="Q325">IF($A325="","",IF($J325="No","",GetMatchingValue($XFD$9,"Original","Control Number",Q$2,$A325)))</f>
        <v/>
      </c>
      <c r="R325" s="34" t="str" cm="1">
        <f t="array" ref="R325">IF($A325="","",IF($J325="No","",GetMatchingValue($XFD$9,"Original","Control Number",R$2,$A325)))</f>
        <v/>
      </c>
      <c r="S325" s="34" t="str" cm="1">
        <f t="array" ref="S325">IF($A325="","",IF($J325="No","",GetMatchingValue($XFD$9,"Original","Control Number",S$2,$A325)))</f>
        <v/>
      </c>
      <c r="T325" s="34" t="str" cm="1">
        <f t="array" ref="T325">IF($A325="","",IF($J325="No","",GetMatchingValue($XFD$9,"Original","Control Number",T$2,$A325)))</f>
        <v/>
      </c>
      <c r="U325" s="34" t="str" cm="1">
        <f t="array" ref="U325">IF($A325="","",IF($J325="No","",GetMatchingValue($XFD$9,"Original","Control Number",U$2,$A325)))</f>
        <v/>
      </c>
      <c r="V325" s="14"/>
      <c r="W325" s="17"/>
      <c r="X325" s="17"/>
      <c r="Y325" s="17"/>
      <c r="Z325" s="13"/>
      <c r="AA325" s="13"/>
      <c r="AB325" s="13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3"/>
    </row>
    <row r="326" spans="1:45" ht="40.5" customHeight="1" x14ac:dyDescent="0.2">
      <c r="A326" s="19"/>
      <c r="B326" s="19"/>
      <c r="C326" s="15"/>
      <c r="D326" s="15"/>
      <c r="E326" s="13"/>
      <c r="F326" s="34" t="str" cm="1">
        <f t="array" ref="F326">IF($A326="","",GetMatchingValue($XFD$8,"Original","Control Number",F$2,$A326))</f>
        <v/>
      </c>
      <c r="G326" s="34" t="str" cm="1">
        <f t="array" ref="G326">IF($A326="","",GetMatchingValue($XFD$8,"Original","Control Number",G$2,$A326))</f>
        <v/>
      </c>
      <c r="H326" s="34" t="str" cm="1">
        <f t="array" ref="H326">IF($A326="","",GetMatchingValue($XFD$8,"Original","Control Number",H$2,$A326))</f>
        <v/>
      </c>
      <c r="I326" s="13"/>
      <c r="J326" s="13" t="str" cm="1">
        <f t="array" ref="J326">IF($A326="","",CheckControlNumberExists($XFD$9, "Original", $A326))</f>
        <v/>
      </c>
      <c r="K326" s="34" t="str" cm="1">
        <f t="array" ref="K326">IF($A326="","",IF($J326="No","",GetMatchingValue($XFD$9,"Original","Control Number",K$2,$A326)))</f>
        <v/>
      </c>
      <c r="L326" s="34" t="str" cm="1">
        <f t="array" ref="L326">IF($A326="","",IF($J326="No","",GetMatchingValue($XFD$9,"Original","Control Number",L$2,$A326)))</f>
        <v/>
      </c>
      <c r="M326" s="13" t="str">
        <f t="shared" ca="1" si="6"/>
        <v/>
      </c>
      <c r="N326" s="16"/>
      <c r="O326" s="34" t="str" cm="1">
        <f t="array" ref="O326">IF($A326="","",IF($J326="No","",GetMatchingValue($XFD$9,"Original","Control Number",O$2,$A326)))</f>
        <v/>
      </c>
      <c r="P326" s="34" t="str" cm="1">
        <f t="array" ref="P326">IF($A326="","",IF($J326="No","",GetMatchingValue($XFD$9,"Original","Control Number",P$2,$A326)))</f>
        <v/>
      </c>
      <c r="Q326" s="34" t="str" cm="1">
        <f t="array" ref="Q326">IF($A326="","",IF($J326="No","",GetMatchingValue($XFD$9,"Original","Control Number",Q$2,$A326)))</f>
        <v/>
      </c>
      <c r="R326" s="34" t="str" cm="1">
        <f t="array" ref="R326">IF($A326="","",IF($J326="No","",GetMatchingValue($XFD$9,"Original","Control Number",R$2,$A326)))</f>
        <v/>
      </c>
      <c r="S326" s="34" t="str" cm="1">
        <f t="array" ref="S326">IF($A326="","",IF($J326="No","",GetMatchingValue($XFD$9,"Original","Control Number",S$2,$A326)))</f>
        <v/>
      </c>
      <c r="T326" s="34" t="str" cm="1">
        <f t="array" ref="T326">IF($A326="","",IF($J326="No","",GetMatchingValue($XFD$9,"Original","Control Number",T$2,$A326)))</f>
        <v/>
      </c>
      <c r="U326" s="34" t="str" cm="1">
        <f t="array" ref="U326">IF($A326="","",IF($J326="No","",GetMatchingValue($XFD$9,"Original","Control Number",U$2,$A326)))</f>
        <v/>
      </c>
      <c r="V326" s="14"/>
      <c r="W326" s="17"/>
      <c r="X326" s="17"/>
      <c r="Y326" s="17"/>
      <c r="Z326" s="13"/>
      <c r="AA326" s="13"/>
      <c r="AB326" s="13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3"/>
    </row>
    <row r="327" spans="1:45" ht="40.5" customHeight="1" x14ac:dyDescent="0.2">
      <c r="A327" s="19"/>
      <c r="B327" s="19"/>
      <c r="C327" s="15"/>
      <c r="D327" s="15"/>
      <c r="E327" s="13"/>
      <c r="F327" s="34" t="str" cm="1">
        <f t="array" ref="F327">IF($A327="","",GetMatchingValue($XFD$8,"Original","Control Number",F$2,$A327))</f>
        <v/>
      </c>
      <c r="G327" s="34" t="str" cm="1">
        <f t="array" ref="G327">IF($A327="","",GetMatchingValue($XFD$8,"Original","Control Number",G$2,$A327))</f>
        <v/>
      </c>
      <c r="H327" s="34" t="str" cm="1">
        <f t="array" ref="H327">IF($A327="","",GetMatchingValue($XFD$8,"Original","Control Number",H$2,$A327))</f>
        <v/>
      </c>
      <c r="I327" s="13"/>
      <c r="J327" s="13" t="str" cm="1">
        <f t="array" ref="J327">IF($A327="","",CheckControlNumberExists($XFD$9, "Original", $A327))</f>
        <v/>
      </c>
      <c r="K327" s="34" t="str" cm="1">
        <f t="array" ref="K327">IF($A327="","",IF($J327="No","",GetMatchingValue($XFD$9,"Original","Control Number",K$2,$A327)))</f>
        <v/>
      </c>
      <c r="L327" s="34" t="str" cm="1">
        <f t="array" ref="L327">IF($A327="","",IF($J327="No","",GetMatchingValue($XFD$9,"Original","Control Number",L$2,$A327)))</f>
        <v/>
      </c>
      <c r="M327" s="13" t="str">
        <f t="shared" ca="1" si="6"/>
        <v/>
      </c>
      <c r="N327" s="16"/>
      <c r="O327" s="34" t="str" cm="1">
        <f t="array" ref="O327">IF($A327="","",IF($J327="No","",GetMatchingValue($XFD$9,"Original","Control Number",O$2,$A327)))</f>
        <v/>
      </c>
      <c r="P327" s="34" t="str" cm="1">
        <f t="array" ref="P327">IF($A327="","",IF($J327="No","",GetMatchingValue($XFD$9,"Original","Control Number",P$2,$A327)))</f>
        <v/>
      </c>
      <c r="Q327" s="34" t="str" cm="1">
        <f t="array" ref="Q327">IF($A327="","",IF($J327="No","",GetMatchingValue($XFD$9,"Original","Control Number",Q$2,$A327)))</f>
        <v/>
      </c>
      <c r="R327" s="34" t="str" cm="1">
        <f t="array" ref="R327">IF($A327="","",IF($J327="No","",GetMatchingValue($XFD$9,"Original","Control Number",R$2,$A327)))</f>
        <v/>
      </c>
      <c r="S327" s="34" t="str" cm="1">
        <f t="array" ref="S327">IF($A327="","",IF($J327="No","",GetMatchingValue($XFD$9,"Original","Control Number",S$2,$A327)))</f>
        <v/>
      </c>
      <c r="T327" s="34" t="str" cm="1">
        <f t="array" ref="T327">IF($A327="","",IF($J327="No","",GetMatchingValue($XFD$9,"Original","Control Number",T$2,$A327)))</f>
        <v/>
      </c>
      <c r="U327" s="34" t="str" cm="1">
        <f t="array" ref="U327">IF($A327="","",IF($J327="No","",GetMatchingValue($XFD$9,"Original","Control Number",U$2,$A327)))</f>
        <v/>
      </c>
      <c r="V327" s="14"/>
      <c r="W327" s="17"/>
      <c r="X327" s="17"/>
      <c r="Y327" s="17"/>
      <c r="Z327" s="13"/>
      <c r="AA327" s="13"/>
      <c r="AB327" s="13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3"/>
    </row>
    <row r="328" spans="1:45" ht="40.5" customHeight="1" x14ac:dyDescent="0.2">
      <c r="A328" s="19"/>
      <c r="B328" s="19"/>
      <c r="C328" s="15"/>
      <c r="D328" s="15"/>
      <c r="E328" s="13"/>
      <c r="F328" s="34" t="str" cm="1">
        <f t="array" ref="F328">IF($A328="","",GetMatchingValue($XFD$8,"Original","Control Number",F$2,$A328))</f>
        <v/>
      </c>
      <c r="G328" s="34" t="str" cm="1">
        <f t="array" ref="G328">IF($A328="","",GetMatchingValue($XFD$8,"Original","Control Number",G$2,$A328))</f>
        <v/>
      </c>
      <c r="H328" s="34" t="str" cm="1">
        <f t="array" ref="H328">IF($A328="","",GetMatchingValue($XFD$8,"Original","Control Number",H$2,$A328))</f>
        <v/>
      </c>
      <c r="I328" s="13"/>
      <c r="J328" s="13" t="str" cm="1">
        <f t="array" ref="J328">IF($A328="","",CheckControlNumberExists($XFD$9, "Original", $A328))</f>
        <v/>
      </c>
      <c r="K328" s="34" t="str" cm="1">
        <f t="array" ref="K328">IF($A328="","",IF($J328="No","",GetMatchingValue($XFD$9,"Original","Control Number",K$2,$A328)))</f>
        <v/>
      </c>
      <c r="L328" s="34" t="str" cm="1">
        <f t="array" ref="L328">IF($A328="","",IF($J328="No","",GetMatchingValue($XFD$9,"Original","Control Number",L$2,$A328)))</f>
        <v/>
      </c>
      <c r="M328" s="13" t="str">
        <f t="shared" ca="1" si="6"/>
        <v/>
      </c>
      <c r="N328" s="16"/>
      <c r="O328" s="34" t="str" cm="1">
        <f t="array" ref="O328">IF($A328="","",IF($J328="No","",GetMatchingValue($XFD$9,"Original","Control Number",O$2,$A328)))</f>
        <v/>
      </c>
      <c r="P328" s="34" t="str" cm="1">
        <f t="array" ref="P328">IF($A328="","",IF($J328="No","",GetMatchingValue($XFD$9,"Original","Control Number",P$2,$A328)))</f>
        <v/>
      </c>
      <c r="Q328" s="34" t="str" cm="1">
        <f t="array" ref="Q328">IF($A328="","",IF($J328="No","",GetMatchingValue($XFD$9,"Original","Control Number",Q$2,$A328)))</f>
        <v/>
      </c>
      <c r="R328" s="34" t="str" cm="1">
        <f t="array" ref="R328">IF($A328="","",IF($J328="No","",GetMatchingValue($XFD$9,"Original","Control Number",R$2,$A328)))</f>
        <v/>
      </c>
      <c r="S328" s="34" t="str" cm="1">
        <f t="array" ref="S328">IF($A328="","",IF($J328="No","",GetMatchingValue($XFD$9,"Original","Control Number",S$2,$A328)))</f>
        <v/>
      </c>
      <c r="T328" s="34" t="str" cm="1">
        <f t="array" ref="T328">IF($A328="","",IF($J328="No","",GetMatchingValue($XFD$9,"Original","Control Number",T$2,$A328)))</f>
        <v/>
      </c>
      <c r="U328" s="34" t="str" cm="1">
        <f t="array" ref="U328">IF($A328="","",IF($J328="No","",GetMatchingValue($XFD$9,"Original","Control Number",U$2,$A328)))</f>
        <v/>
      </c>
      <c r="V328" s="14"/>
      <c r="W328" s="17"/>
      <c r="X328" s="17"/>
      <c r="Y328" s="17"/>
      <c r="Z328" s="13"/>
      <c r="AA328" s="13"/>
      <c r="AB328" s="13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3"/>
    </row>
    <row r="329" spans="1:45" ht="40.5" customHeight="1" x14ac:dyDescent="0.2">
      <c r="A329" s="19"/>
      <c r="B329" s="19"/>
      <c r="C329" s="15"/>
      <c r="D329" s="15"/>
      <c r="E329" s="13"/>
      <c r="F329" s="34" t="str" cm="1">
        <f t="array" ref="F329">IF($A329="","",GetMatchingValue($XFD$8,"Original","Control Number",F$2,$A329))</f>
        <v/>
      </c>
      <c r="G329" s="34" t="str" cm="1">
        <f t="array" ref="G329">IF($A329="","",GetMatchingValue($XFD$8,"Original","Control Number",G$2,$A329))</f>
        <v/>
      </c>
      <c r="H329" s="34" t="str" cm="1">
        <f t="array" ref="H329">IF($A329="","",GetMatchingValue($XFD$8,"Original","Control Number",H$2,$A329))</f>
        <v/>
      </c>
      <c r="I329" s="13"/>
      <c r="J329" s="13" t="str" cm="1">
        <f t="array" ref="J329">IF($A329="","",CheckControlNumberExists($XFD$9, "Original", $A329))</f>
        <v/>
      </c>
      <c r="K329" s="34" t="str" cm="1">
        <f t="array" ref="K329">IF($A329="","",IF($J329="No","",GetMatchingValue($XFD$9,"Original","Control Number",K$2,$A329)))</f>
        <v/>
      </c>
      <c r="L329" s="34" t="str" cm="1">
        <f t="array" ref="L329">IF($A329="","",IF($J329="No","",GetMatchingValue($XFD$9,"Original","Control Number",L$2,$A329)))</f>
        <v/>
      </c>
      <c r="M329" s="13" t="str">
        <f t="shared" ref="M329:M392" ca="1" si="7">IFERROR(INDEX(
    INDIRECT($XFD$7 &amp; ADDRESS(2, MATCH(M$2, INDIRECT($XFD$7 &amp; "1:1"), 0)) &amp; ":" &amp; ADDRESS(65536, MATCH(M$2, INDIRECT($XFD$7 &amp; "1:1"), 0))),
    MATCH($A329, INDIRECT($XFD$7 &amp; ADDRESS(2, MATCH("Control Number", INDIRECT($XFD$7 &amp; "1:1"), 0)) &amp; ":" &amp; ADDRESS(65536, MATCH("Control Number", INDIRECT($XFD$7 &amp; "1:1"), 0))), 0)
),"")</f>
        <v/>
      </c>
      <c r="N329" s="16"/>
      <c r="O329" s="34" t="str" cm="1">
        <f t="array" ref="O329">IF($A329="","",IF($J329="No","",GetMatchingValue($XFD$9,"Original","Control Number",O$2,$A329)))</f>
        <v/>
      </c>
      <c r="P329" s="34" t="str" cm="1">
        <f t="array" ref="P329">IF($A329="","",IF($J329="No","",GetMatchingValue($XFD$9,"Original","Control Number",P$2,$A329)))</f>
        <v/>
      </c>
      <c r="Q329" s="34" t="str" cm="1">
        <f t="array" ref="Q329">IF($A329="","",IF($J329="No","",GetMatchingValue($XFD$9,"Original","Control Number",Q$2,$A329)))</f>
        <v/>
      </c>
      <c r="R329" s="34" t="str" cm="1">
        <f t="array" ref="R329">IF($A329="","",IF($J329="No","",GetMatchingValue($XFD$9,"Original","Control Number",R$2,$A329)))</f>
        <v/>
      </c>
      <c r="S329" s="34" t="str" cm="1">
        <f t="array" ref="S329">IF($A329="","",IF($J329="No","",GetMatchingValue($XFD$9,"Original","Control Number",S$2,$A329)))</f>
        <v/>
      </c>
      <c r="T329" s="34" t="str" cm="1">
        <f t="array" ref="T329">IF($A329="","",IF($J329="No","",GetMatchingValue($XFD$9,"Original","Control Number",T$2,$A329)))</f>
        <v/>
      </c>
      <c r="U329" s="34" t="str" cm="1">
        <f t="array" ref="U329">IF($A329="","",IF($J329="No","",GetMatchingValue($XFD$9,"Original","Control Number",U$2,$A329)))</f>
        <v/>
      </c>
      <c r="V329" s="14"/>
      <c r="W329" s="17"/>
      <c r="X329" s="17"/>
      <c r="Y329" s="17"/>
      <c r="Z329" s="13"/>
      <c r="AA329" s="13"/>
      <c r="AB329" s="13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3"/>
    </row>
    <row r="330" spans="1:45" ht="40.5" customHeight="1" x14ac:dyDescent="0.2">
      <c r="A330" s="19"/>
      <c r="B330" s="19"/>
      <c r="C330" s="15"/>
      <c r="D330" s="15"/>
      <c r="E330" s="13"/>
      <c r="F330" s="34" t="str" cm="1">
        <f t="array" ref="F330">IF($A330="","",GetMatchingValue($XFD$8,"Original","Control Number",F$2,$A330))</f>
        <v/>
      </c>
      <c r="G330" s="34" t="str" cm="1">
        <f t="array" ref="G330">IF($A330="","",GetMatchingValue($XFD$8,"Original","Control Number",G$2,$A330))</f>
        <v/>
      </c>
      <c r="H330" s="34" t="str" cm="1">
        <f t="array" ref="H330">IF($A330="","",GetMatchingValue($XFD$8,"Original","Control Number",H$2,$A330))</f>
        <v/>
      </c>
      <c r="I330" s="13"/>
      <c r="J330" s="13" t="str" cm="1">
        <f t="array" ref="J330">IF($A330="","",CheckControlNumberExists($XFD$9, "Original", $A330))</f>
        <v/>
      </c>
      <c r="K330" s="34" t="str" cm="1">
        <f t="array" ref="K330">IF($A330="","",IF($J330="No","",GetMatchingValue($XFD$9,"Original","Control Number",K$2,$A330)))</f>
        <v/>
      </c>
      <c r="L330" s="34" t="str" cm="1">
        <f t="array" ref="L330">IF($A330="","",IF($J330="No","",GetMatchingValue($XFD$9,"Original","Control Number",L$2,$A330)))</f>
        <v/>
      </c>
      <c r="M330" s="13" t="str">
        <f t="shared" ca="1" si="7"/>
        <v/>
      </c>
      <c r="N330" s="16"/>
      <c r="O330" s="34" t="str" cm="1">
        <f t="array" ref="O330">IF($A330="","",IF($J330="No","",GetMatchingValue($XFD$9,"Original","Control Number",O$2,$A330)))</f>
        <v/>
      </c>
      <c r="P330" s="34" t="str" cm="1">
        <f t="array" ref="P330">IF($A330="","",IF($J330="No","",GetMatchingValue($XFD$9,"Original","Control Number",P$2,$A330)))</f>
        <v/>
      </c>
      <c r="Q330" s="34" t="str" cm="1">
        <f t="array" ref="Q330">IF($A330="","",IF($J330="No","",GetMatchingValue($XFD$9,"Original","Control Number",Q$2,$A330)))</f>
        <v/>
      </c>
      <c r="R330" s="34" t="str" cm="1">
        <f t="array" ref="R330">IF($A330="","",IF($J330="No","",GetMatchingValue($XFD$9,"Original","Control Number",R$2,$A330)))</f>
        <v/>
      </c>
      <c r="S330" s="34" t="str" cm="1">
        <f t="array" ref="S330">IF($A330="","",IF($J330="No","",GetMatchingValue($XFD$9,"Original","Control Number",S$2,$A330)))</f>
        <v/>
      </c>
      <c r="T330" s="34" t="str" cm="1">
        <f t="array" ref="T330">IF($A330="","",IF($J330="No","",GetMatchingValue($XFD$9,"Original","Control Number",T$2,$A330)))</f>
        <v/>
      </c>
      <c r="U330" s="34" t="str" cm="1">
        <f t="array" ref="U330">IF($A330="","",IF($J330="No","",GetMatchingValue($XFD$9,"Original","Control Number",U$2,$A330)))</f>
        <v/>
      </c>
      <c r="V330" s="14"/>
      <c r="W330" s="17"/>
      <c r="X330" s="17"/>
      <c r="Y330" s="17"/>
      <c r="Z330" s="13"/>
      <c r="AA330" s="13"/>
      <c r="AB330" s="13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3"/>
    </row>
    <row r="331" spans="1:45" ht="40.5" customHeight="1" x14ac:dyDescent="0.2">
      <c r="A331" s="19"/>
      <c r="B331" s="19"/>
      <c r="C331" s="15"/>
      <c r="D331" s="15"/>
      <c r="E331" s="13"/>
      <c r="F331" s="34" t="str" cm="1">
        <f t="array" ref="F331">IF($A331="","",GetMatchingValue($XFD$8,"Original","Control Number",F$2,$A331))</f>
        <v/>
      </c>
      <c r="G331" s="34" t="str" cm="1">
        <f t="array" ref="G331">IF($A331="","",GetMatchingValue($XFD$8,"Original","Control Number",G$2,$A331))</f>
        <v/>
      </c>
      <c r="H331" s="34" t="str" cm="1">
        <f t="array" ref="H331">IF($A331="","",GetMatchingValue($XFD$8,"Original","Control Number",H$2,$A331))</f>
        <v/>
      </c>
      <c r="I331" s="13"/>
      <c r="J331" s="13" t="str" cm="1">
        <f t="array" ref="J331">IF($A331="","",CheckControlNumberExists($XFD$9, "Original", $A331))</f>
        <v/>
      </c>
      <c r="K331" s="34" t="str" cm="1">
        <f t="array" ref="K331">IF($A331="","",IF($J331="No","",GetMatchingValue($XFD$9,"Original","Control Number",K$2,$A331)))</f>
        <v/>
      </c>
      <c r="L331" s="34" t="str" cm="1">
        <f t="array" ref="L331">IF($A331="","",IF($J331="No","",GetMatchingValue($XFD$9,"Original","Control Number",L$2,$A331)))</f>
        <v/>
      </c>
      <c r="M331" s="13" t="str">
        <f t="shared" ca="1" si="7"/>
        <v/>
      </c>
      <c r="N331" s="16"/>
      <c r="O331" s="34" t="str" cm="1">
        <f t="array" ref="O331">IF($A331="","",IF($J331="No","",GetMatchingValue($XFD$9,"Original","Control Number",O$2,$A331)))</f>
        <v/>
      </c>
      <c r="P331" s="34" t="str" cm="1">
        <f t="array" ref="P331">IF($A331="","",IF($J331="No","",GetMatchingValue($XFD$9,"Original","Control Number",P$2,$A331)))</f>
        <v/>
      </c>
      <c r="Q331" s="34" t="str" cm="1">
        <f t="array" ref="Q331">IF($A331="","",IF($J331="No","",GetMatchingValue($XFD$9,"Original","Control Number",Q$2,$A331)))</f>
        <v/>
      </c>
      <c r="R331" s="34" t="str" cm="1">
        <f t="array" ref="R331">IF($A331="","",IF($J331="No","",GetMatchingValue($XFD$9,"Original","Control Number",R$2,$A331)))</f>
        <v/>
      </c>
      <c r="S331" s="34" t="str" cm="1">
        <f t="array" ref="S331">IF($A331="","",IF($J331="No","",GetMatchingValue($XFD$9,"Original","Control Number",S$2,$A331)))</f>
        <v/>
      </c>
      <c r="T331" s="34" t="str" cm="1">
        <f t="array" ref="T331">IF($A331="","",IF($J331="No","",GetMatchingValue($XFD$9,"Original","Control Number",T$2,$A331)))</f>
        <v/>
      </c>
      <c r="U331" s="34" t="str" cm="1">
        <f t="array" ref="U331">IF($A331="","",IF($J331="No","",GetMatchingValue($XFD$9,"Original","Control Number",U$2,$A331)))</f>
        <v/>
      </c>
      <c r="V331" s="14"/>
      <c r="W331" s="17"/>
      <c r="X331" s="17"/>
      <c r="Y331" s="17"/>
      <c r="Z331" s="13"/>
      <c r="AA331" s="13"/>
      <c r="AB331" s="13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3"/>
    </row>
    <row r="332" spans="1:45" ht="40.5" customHeight="1" x14ac:dyDescent="0.2">
      <c r="A332" s="19"/>
      <c r="B332" s="19"/>
      <c r="C332" s="15"/>
      <c r="D332" s="15"/>
      <c r="E332" s="13"/>
      <c r="F332" s="34" t="str" cm="1">
        <f t="array" ref="F332">IF($A332="","",GetMatchingValue($XFD$8,"Original","Control Number",F$2,$A332))</f>
        <v/>
      </c>
      <c r="G332" s="34" t="str" cm="1">
        <f t="array" ref="G332">IF($A332="","",GetMatchingValue($XFD$8,"Original","Control Number",G$2,$A332))</f>
        <v/>
      </c>
      <c r="H332" s="34" t="str" cm="1">
        <f t="array" ref="H332">IF($A332="","",GetMatchingValue($XFD$8,"Original","Control Number",H$2,$A332))</f>
        <v/>
      </c>
      <c r="I332" s="13"/>
      <c r="J332" s="13" t="str" cm="1">
        <f t="array" ref="J332">IF($A332="","",CheckControlNumberExists($XFD$9, "Original", $A332))</f>
        <v/>
      </c>
      <c r="K332" s="34" t="str" cm="1">
        <f t="array" ref="K332">IF($A332="","",IF($J332="No","",GetMatchingValue($XFD$9,"Original","Control Number",K$2,$A332)))</f>
        <v/>
      </c>
      <c r="L332" s="34" t="str" cm="1">
        <f t="array" ref="L332">IF($A332="","",IF($J332="No","",GetMatchingValue($XFD$9,"Original","Control Number",L$2,$A332)))</f>
        <v/>
      </c>
      <c r="M332" s="13" t="str">
        <f t="shared" ca="1" si="7"/>
        <v/>
      </c>
      <c r="N332" s="16"/>
      <c r="O332" s="34" t="str" cm="1">
        <f t="array" ref="O332">IF($A332="","",IF($J332="No","",GetMatchingValue($XFD$9,"Original","Control Number",O$2,$A332)))</f>
        <v/>
      </c>
      <c r="P332" s="34" t="str" cm="1">
        <f t="array" ref="P332">IF($A332="","",IF($J332="No","",GetMatchingValue($XFD$9,"Original","Control Number",P$2,$A332)))</f>
        <v/>
      </c>
      <c r="Q332" s="34" t="str" cm="1">
        <f t="array" ref="Q332">IF($A332="","",IF($J332="No","",GetMatchingValue($XFD$9,"Original","Control Number",Q$2,$A332)))</f>
        <v/>
      </c>
      <c r="R332" s="34" t="str" cm="1">
        <f t="array" ref="R332">IF($A332="","",IF($J332="No","",GetMatchingValue($XFD$9,"Original","Control Number",R$2,$A332)))</f>
        <v/>
      </c>
      <c r="S332" s="34" t="str" cm="1">
        <f t="array" ref="S332">IF($A332="","",IF($J332="No","",GetMatchingValue($XFD$9,"Original","Control Number",S$2,$A332)))</f>
        <v/>
      </c>
      <c r="T332" s="34" t="str" cm="1">
        <f t="array" ref="T332">IF($A332="","",IF($J332="No","",GetMatchingValue($XFD$9,"Original","Control Number",T$2,$A332)))</f>
        <v/>
      </c>
      <c r="U332" s="34" t="str" cm="1">
        <f t="array" ref="U332">IF($A332="","",IF($J332="No","",GetMatchingValue($XFD$9,"Original","Control Number",U$2,$A332)))</f>
        <v/>
      </c>
      <c r="V332" s="14"/>
      <c r="W332" s="17"/>
      <c r="X332" s="17"/>
      <c r="Y332" s="17"/>
      <c r="Z332" s="13"/>
      <c r="AA332" s="13"/>
      <c r="AB332" s="13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3"/>
    </row>
    <row r="333" spans="1:45" ht="40.5" customHeight="1" x14ac:dyDescent="0.2">
      <c r="A333" s="19"/>
      <c r="B333" s="19"/>
      <c r="C333" s="15"/>
      <c r="D333" s="15"/>
      <c r="E333" s="13"/>
      <c r="F333" s="34" t="str" cm="1">
        <f t="array" ref="F333">IF($A333="","",GetMatchingValue($XFD$8,"Original","Control Number",F$2,$A333))</f>
        <v/>
      </c>
      <c r="G333" s="34" t="str" cm="1">
        <f t="array" ref="G333">IF($A333="","",GetMatchingValue($XFD$8,"Original","Control Number",G$2,$A333))</f>
        <v/>
      </c>
      <c r="H333" s="34" t="str" cm="1">
        <f t="array" ref="H333">IF($A333="","",GetMatchingValue($XFD$8,"Original","Control Number",H$2,$A333))</f>
        <v/>
      </c>
      <c r="I333" s="13"/>
      <c r="J333" s="13" t="str" cm="1">
        <f t="array" ref="J333">IF($A333="","",CheckControlNumberExists($XFD$9, "Original", $A333))</f>
        <v/>
      </c>
      <c r="K333" s="34" t="str" cm="1">
        <f t="array" ref="K333">IF($A333="","",IF($J333="No","",GetMatchingValue($XFD$9,"Original","Control Number",K$2,$A333)))</f>
        <v/>
      </c>
      <c r="L333" s="34" t="str" cm="1">
        <f t="array" ref="L333">IF($A333="","",IF($J333="No","",GetMatchingValue($XFD$9,"Original","Control Number",L$2,$A333)))</f>
        <v/>
      </c>
      <c r="M333" s="13" t="str">
        <f t="shared" ca="1" si="7"/>
        <v/>
      </c>
      <c r="N333" s="16"/>
      <c r="O333" s="34" t="str" cm="1">
        <f t="array" ref="O333">IF($A333="","",IF($J333="No","",GetMatchingValue($XFD$9,"Original","Control Number",O$2,$A333)))</f>
        <v/>
      </c>
      <c r="P333" s="34" t="str" cm="1">
        <f t="array" ref="P333">IF($A333="","",IF($J333="No","",GetMatchingValue($XFD$9,"Original","Control Number",P$2,$A333)))</f>
        <v/>
      </c>
      <c r="Q333" s="34" t="str" cm="1">
        <f t="array" ref="Q333">IF($A333="","",IF($J333="No","",GetMatchingValue($XFD$9,"Original","Control Number",Q$2,$A333)))</f>
        <v/>
      </c>
      <c r="R333" s="34" t="str" cm="1">
        <f t="array" ref="R333">IF($A333="","",IF($J333="No","",GetMatchingValue($XFD$9,"Original","Control Number",R$2,$A333)))</f>
        <v/>
      </c>
      <c r="S333" s="34" t="str" cm="1">
        <f t="array" ref="S333">IF($A333="","",IF($J333="No","",GetMatchingValue($XFD$9,"Original","Control Number",S$2,$A333)))</f>
        <v/>
      </c>
      <c r="T333" s="34" t="str" cm="1">
        <f t="array" ref="T333">IF($A333="","",IF($J333="No","",GetMatchingValue($XFD$9,"Original","Control Number",T$2,$A333)))</f>
        <v/>
      </c>
      <c r="U333" s="34" t="str" cm="1">
        <f t="array" ref="U333">IF($A333="","",IF($J333="No","",GetMatchingValue($XFD$9,"Original","Control Number",U$2,$A333)))</f>
        <v/>
      </c>
      <c r="V333" s="14"/>
      <c r="W333" s="17"/>
      <c r="X333" s="17"/>
      <c r="Y333" s="17"/>
      <c r="Z333" s="13"/>
      <c r="AA333" s="13"/>
      <c r="AB333" s="13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3"/>
    </row>
    <row r="334" spans="1:45" ht="40.5" customHeight="1" x14ac:dyDescent="0.2">
      <c r="A334" s="19"/>
      <c r="B334" s="19"/>
      <c r="C334" s="15"/>
      <c r="D334" s="15"/>
      <c r="E334" s="13"/>
      <c r="F334" s="34" t="str" cm="1">
        <f t="array" ref="F334">IF($A334="","",GetMatchingValue($XFD$8,"Original","Control Number",F$2,$A334))</f>
        <v/>
      </c>
      <c r="G334" s="34" t="str" cm="1">
        <f t="array" ref="G334">IF($A334="","",GetMatchingValue($XFD$8,"Original","Control Number",G$2,$A334))</f>
        <v/>
      </c>
      <c r="H334" s="34" t="str" cm="1">
        <f t="array" ref="H334">IF($A334="","",GetMatchingValue($XFD$8,"Original","Control Number",H$2,$A334))</f>
        <v/>
      </c>
      <c r="I334" s="13"/>
      <c r="J334" s="13" t="str" cm="1">
        <f t="array" ref="J334">IF($A334="","",CheckControlNumberExists($XFD$9, "Original", $A334))</f>
        <v/>
      </c>
      <c r="K334" s="34" t="str" cm="1">
        <f t="array" ref="K334">IF($A334="","",IF($J334="No","",GetMatchingValue($XFD$9,"Original","Control Number",K$2,$A334)))</f>
        <v/>
      </c>
      <c r="L334" s="34" t="str" cm="1">
        <f t="array" ref="L334">IF($A334="","",IF($J334="No","",GetMatchingValue($XFD$9,"Original","Control Number",L$2,$A334)))</f>
        <v/>
      </c>
      <c r="M334" s="13" t="str">
        <f t="shared" ca="1" si="7"/>
        <v/>
      </c>
      <c r="N334" s="16"/>
      <c r="O334" s="34" t="str" cm="1">
        <f t="array" ref="O334">IF($A334="","",IF($J334="No","",GetMatchingValue($XFD$9,"Original","Control Number",O$2,$A334)))</f>
        <v/>
      </c>
      <c r="P334" s="34" t="str" cm="1">
        <f t="array" ref="P334">IF($A334="","",IF($J334="No","",GetMatchingValue($XFD$9,"Original","Control Number",P$2,$A334)))</f>
        <v/>
      </c>
      <c r="Q334" s="34" t="str" cm="1">
        <f t="array" ref="Q334">IF($A334="","",IF($J334="No","",GetMatchingValue($XFD$9,"Original","Control Number",Q$2,$A334)))</f>
        <v/>
      </c>
      <c r="R334" s="34" t="str" cm="1">
        <f t="array" ref="R334">IF($A334="","",IF($J334="No","",GetMatchingValue($XFD$9,"Original","Control Number",R$2,$A334)))</f>
        <v/>
      </c>
      <c r="S334" s="34" t="str" cm="1">
        <f t="array" ref="S334">IF($A334="","",IF($J334="No","",GetMatchingValue($XFD$9,"Original","Control Number",S$2,$A334)))</f>
        <v/>
      </c>
      <c r="T334" s="34" t="str" cm="1">
        <f t="array" ref="T334">IF($A334="","",IF($J334="No","",GetMatchingValue($XFD$9,"Original","Control Number",T$2,$A334)))</f>
        <v/>
      </c>
      <c r="U334" s="34" t="str" cm="1">
        <f t="array" ref="U334">IF($A334="","",IF($J334="No","",GetMatchingValue($XFD$9,"Original","Control Number",U$2,$A334)))</f>
        <v/>
      </c>
      <c r="V334" s="14"/>
      <c r="W334" s="17"/>
      <c r="X334" s="17"/>
      <c r="Y334" s="17"/>
      <c r="Z334" s="13"/>
      <c r="AA334" s="13"/>
      <c r="AB334" s="13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3"/>
    </row>
    <row r="335" spans="1:45" ht="40.5" customHeight="1" x14ac:dyDescent="0.2">
      <c r="A335" s="19"/>
      <c r="B335" s="19"/>
      <c r="C335" s="15"/>
      <c r="D335" s="15"/>
      <c r="E335" s="13"/>
      <c r="F335" s="34" t="str" cm="1">
        <f t="array" ref="F335">IF($A335="","",GetMatchingValue($XFD$8,"Original","Control Number",F$2,$A335))</f>
        <v/>
      </c>
      <c r="G335" s="34" t="str" cm="1">
        <f t="array" ref="G335">IF($A335="","",GetMatchingValue($XFD$8,"Original","Control Number",G$2,$A335))</f>
        <v/>
      </c>
      <c r="H335" s="34" t="str" cm="1">
        <f t="array" ref="H335">IF($A335="","",GetMatchingValue($XFD$8,"Original","Control Number",H$2,$A335))</f>
        <v/>
      </c>
      <c r="I335" s="13"/>
      <c r="J335" s="13" t="str" cm="1">
        <f t="array" ref="J335">IF($A335="","",CheckControlNumberExists($XFD$9, "Original", $A335))</f>
        <v/>
      </c>
      <c r="K335" s="34" t="str" cm="1">
        <f t="array" ref="K335">IF($A335="","",IF($J335="No","",GetMatchingValue($XFD$9,"Original","Control Number",K$2,$A335)))</f>
        <v/>
      </c>
      <c r="L335" s="34" t="str" cm="1">
        <f t="array" ref="L335">IF($A335="","",IF($J335="No","",GetMatchingValue($XFD$9,"Original","Control Number",L$2,$A335)))</f>
        <v/>
      </c>
      <c r="M335" s="13" t="str">
        <f t="shared" ca="1" si="7"/>
        <v/>
      </c>
      <c r="N335" s="16"/>
      <c r="O335" s="34" t="str" cm="1">
        <f t="array" ref="O335">IF($A335="","",IF($J335="No","",GetMatchingValue($XFD$9,"Original","Control Number",O$2,$A335)))</f>
        <v/>
      </c>
      <c r="P335" s="34" t="str" cm="1">
        <f t="array" ref="P335">IF($A335="","",IF($J335="No","",GetMatchingValue($XFD$9,"Original","Control Number",P$2,$A335)))</f>
        <v/>
      </c>
      <c r="Q335" s="34" t="str" cm="1">
        <f t="array" ref="Q335">IF($A335="","",IF($J335="No","",GetMatchingValue($XFD$9,"Original","Control Number",Q$2,$A335)))</f>
        <v/>
      </c>
      <c r="R335" s="34" t="str" cm="1">
        <f t="array" ref="R335">IF($A335="","",IF($J335="No","",GetMatchingValue($XFD$9,"Original","Control Number",R$2,$A335)))</f>
        <v/>
      </c>
      <c r="S335" s="34" t="str" cm="1">
        <f t="array" ref="S335">IF($A335="","",IF($J335="No","",GetMatchingValue($XFD$9,"Original","Control Number",S$2,$A335)))</f>
        <v/>
      </c>
      <c r="T335" s="34" t="str" cm="1">
        <f t="array" ref="T335">IF($A335="","",IF($J335="No","",GetMatchingValue($XFD$9,"Original","Control Number",T$2,$A335)))</f>
        <v/>
      </c>
      <c r="U335" s="34" t="str" cm="1">
        <f t="array" ref="U335">IF($A335="","",IF($J335="No","",GetMatchingValue($XFD$9,"Original","Control Number",U$2,$A335)))</f>
        <v/>
      </c>
      <c r="V335" s="14"/>
      <c r="W335" s="17"/>
      <c r="X335" s="17"/>
      <c r="Y335" s="17"/>
      <c r="Z335" s="13"/>
      <c r="AA335" s="13"/>
      <c r="AB335" s="13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3"/>
    </row>
    <row r="336" spans="1:45" ht="40.5" customHeight="1" x14ac:dyDescent="0.2">
      <c r="A336" s="19"/>
      <c r="B336" s="19"/>
      <c r="C336" s="15"/>
      <c r="D336" s="15"/>
      <c r="E336" s="13"/>
      <c r="F336" s="34" t="str" cm="1">
        <f t="array" ref="F336">IF($A336="","",GetMatchingValue($XFD$8,"Original","Control Number",F$2,$A336))</f>
        <v/>
      </c>
      <c r="G336" s="34" t="str" cm="1">
        <f t="array" ref="G336">IF($A336="","",GetMatchingValue($XFD$8,"Original","Control Number",G$2,$A336))</f>
        <v/>
      </c>
      <c r="H336" s="34" t="str" cm="1">
        <f t="array" ref="H336">IF($A336="","",GetMatchingValue($XFD$8,"Original","Control Number",H$2,$A336))</f>
        <v/>
      </c>
      <c r="I336" s="13"/>
      <c r="J336" s="13" t="str" cm="1">
        <f t="array" ref="J336">IF($A336="","",CheckControlNumberExists($XFD$9, "Original", $A336))</f>
        <v/>
      </c>
      <c r="K336" s="34" t="str" cm="1">
        <f t="array" ref="K336">IF($A336="","",IF($J336="No","",GetMatchingValue($XFD$9,"Original","Control Number",K$2,$A336)))</f>
        <v/>
      </c>
      <c r="L336" s="34" t="str" cm="1">
        <f t="array" ref="L336">IF($A336="","",IF($J336="No","",GetMatchingValue($XFD$9,"Original","Control Number",L$2,$A336)))</f>
        <v/>
      </c>
      <c r="M336" s="13" t="str">
        <f t="shared" ca="1" si="7"/>
        <v/>
      </c>
      <c r="N336" s="16"/>
      <c r="O336" s="34" t="str" cm="1">
        <f t="array" ref="O336">IF($A336="","",IF($J336="No","",GetMatchingValue($XFD$9,"Original","Control Number",O$2,$A336)))</f>
        <v/>
      </c>
      <c r="P336" s="34" t="str" cm="1">
        <f t="array" ref="P336">IF($A336="","",IF($J336="No","",GetMatchingValue($XFD$9,"Original","Control Number",P$2,$A336)))</f>
        <v/>
      </c>
      <c r="Q336" s="34" t="str" cm="1">
        <f t="array" ref="Q336">IF($A336="","",IF($J336="No","",GetMatchingValue($XFD$9,"Original","Control Number",Q$2,$A336)))</f>
        <v/>
      </c>
      <c r="R336" s="34" t="str" cm="1">
        <f t="array" ref="R336">IF($A336="","",IF($J336="No","",GetMatchingValue($XFD$9,"Original","Control Number",R$2,$A336)))</f>
        <v/>
      </c>
      <c r="S336" s="34" t="str" cm="1">
        <f t="array" ref="S336">IF($A336="","",IF($J336="No","",GetMatchingValue($XFD$9,"Original","Control Number",S$2,$A336)))</f>
        <v/>
      </c>
      <c r="T336" s="34" t="str" cm="1">
        <f t="array" ref="T336">IF($A336="","",IF($J336="No","",GetMatchingValue($XFD$9,"Original","Control Number",T$2,$A336)))</f>
        <v/>
      </c>
      <c r="U336" s="34" t="str" cm="1">
        <f t="array" ref="U336">IF($A336="","",IF($J336="No","",GetMatchingValue($XFD$9,"Original","Control Number",U$2,$A336)))</f>
        <v/>
      </c>
      <c r="V336" s="14"/>
      <c r="W336" s="17"/>
      <c r="X336" s="17"/>
      <c r="Y336" s="17"/>
      <c r="Z336" s="13"/>
      <c r="AA336" s="13"/>
      <c r="AB336" s="13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3"/>
    </row>
    <row r="337" spans="1:45" ht="40.5" customHeight="1" x14ac:dyDescent="0.2">
      <c r="A337" s="19"/>
      <c r="B337" s="19"/>
      <c r="C337" s="15"/>
      <c r="D337" s="15"/>
      <c r="E337" s="13"/>
      <c r="F337" s="34" t="str" cm="1">
        <f t="array" ref="F337">IF($A337="","",GetMatchingValue($XFD$8,"Original","Control Number",F$2,$A337))</f>
        <v/>
      </c>
      <c r="G337" s="34" t="str" cm="1">
        <f t="array" ref="G337">IF($A337="","",GetMatchingValue($XFD$8,"Original","Control Number",G$2,$A337))</f>
        <v/>
      </c>
      <c r="H337" s="34" t="str" cm="1">
        <f t="array" ref="H337">IF($A337="","",GetMatchingValue($XFD$8,"Original","Control Number",H$2,$A337))</f>
        <v/>
      </c>
      <c r="I337" s="13"/>
      <c r="J337" s="13" t="str" cm="1">
        <f t="array" ref="J337">IF($A337="","",CheckControlNumberExists($XFD$9, "Original", $A337))</f>
        <v/>
      </c>
      <c r="K337" s="34" t="str" cm="1">
        <f t="array" ref="K337">IF($A337="","",IF($J337="No","",GetMatchingValue($XFD$9,"Original","Control Number",K$2,$A337)))</f>
        <v/>
      </c>
      <c r="L337" s="34" t="str" cm="1">
        <f t="array" ref="L337">IF($A337="","",IF($J337="No","",GetMatchingValue($XFD$9,"Original","Control Number",L$2,$A337)))</f>
        <v/>
      </c>
      <c r="M337" s="13" t="str">
        <f t="shared" ca="1" si="7"/>
        <v/>
      </c>
      <c r="N337" s="16"/>
      <c r="O337" s="34" t="str" cm="1">
        <f t="array" ref="O337">IF($A337="","",IF($J337="No","",GetMatchingValue($XFD$9,"Original","Control Number",O$2,$A337)))</f>
        <v/>
      </c>
      <c r="P337" s="34" t="str" cm="1">
        <f t="array" ref="P337">IF($A337="","",IF($J337="No","",GetMatchingValue($XFD$9,"Original","Control Number",P$2,$A337)))</f>
        <v/>
      </c>
      <c r="Q337" s="34" t="str" cm="1">
        <f t="array" ref="Q337">IF($A337="","",IF($J337="No","",GetMatchingValue($XFD$9,"Original","Control Number",Q$2,$A337)))</f>
        <v/>
      </c>
      <c r="R337" s="34" t="str" cm="1">
        <f t="array" ref="R337">IF($A337="","",IF($J337="No","",GetMatchingValue($XFD$9,"Original","Control Number",R$2,$A337)))</f>
        <v/>
      </c>
      <c r="S337" s="34" t="str" cm="1">
        <f t="array" ref="S337">IF($A337="","",IF($J337="No","",GetMatchingValue($XFD$9,"Original","Control Number",S$2,$A337)))</f>
        <v/>
      </c>
      <c r="T337" s="34" t="str" cm="1">
        <f t="array" ref="T337">IF($A337="","",IF($J337="No","",GetMatchingValue($XFD$9,"Original","Control Number",T$2,$A337)))</f>
        <v/>
      </c>
      <c r="U337" s="34" t="str" cm="1">
        <f t="array" ref="U337">IF($A337="","",IF($J337="No","",GetMatchingValue($XFD$9,"Original","Control Number",U$2,$A337)))</f>
        <v/>
      </c>
      <c r="V337" s="14"/>
      <c r="W337" s="17"/>
      <c r="X337" s="17"/>
      <c r="Y337" s="17"/>
      <c r="Z337" s="13"/>
      <c r="AA337" s="13"/>
      <c r="AB337" s="13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3"/>
    </row>
    <row r="338" spans="1:45" ht="40.5" customHeight="1" x14ac:dyDescent="0.2">
      <c r="A338" s="19"/>
      <c r="B338" s="19"/>
      <c r="C338" s="15"/>
      <c r="D338" s="15"/>
      <c r="E338" s="13"/>
      <c r="F338" s="34" t="str" cm="1">
        <f t="array" ref="F338">IF($A338="","",GetMatchingValue($XFD$8,"Original","Control Number",F$2,$A338))</f>
        <v/>
      </c>
      <c r="G338" s="34" t="str" cm="1">
        <f t="array" ref="G338">IF($A338="","",GetMatchingValue($XFD$8,"Original","Control Number",G$2,$A338))</f>
        <v/>
      </c>
      <c r="H338" s="34" t="str" cm="1">
        <f t="array" ref="H338">IF($A338="","",GetMatchingValue($XFD$8,"Original","Control Number",H$2,$A338))</f>
        <v/>
      </c>
      <c r="I338" s="13"/>
      <c r="J338" s="13" t="str" cm="1">
        <f t="array" ref="J338">IF($A338="","",CheckControlNumberExists($XFD$9, "Original", $A338))</f>
        <v/>
      </c>
      <c r="K338" s="34" t="str" cm="1">
        <f t="array" ref="K338">IF($A338="","",IF($J338="No","",GetMatchingValue($XFD$9,"Original","Control Number",K$2,$A338)))</f>
        <v/>
      </c>
      <c r="L338" s="34" t="str" cm="1">
        <f t="array" ref="L338">IF($A338="","",IF($J338="No","",GetMatchingValue($XFD$9,"Original","Control Number",L$2,$A338)))</f>
        <v/>
      </c>
      <c r="M338" s="13" t="str">
        <f t="shared" ca="1" si="7"/>
        <v/>
      </c>
      <c r="N338" s="16"/>
      <c r="O338" s="34" t="str" cm="1">
        <f t="array" ref="O338">IF($A338="","",IF($J338="No","",GetMatchingValue($XFD$9,"Original","Control Number",O$2,$A338)))</f>
        <v/>
      </c>
      <c r="P338" s="34" t="str" cm="1">
        <f t="array" ref="P338">IF($A338="","",IF($J338="No","",GetMatchingValue($XFD$9,"Original","Control Number",P$2,$A338)))</f>
        <v/>
      </c>
      <c r="Q338" s="34" t="str" cm="1">
        <f t="array" ref="Q338">IF($A338="","",IF($J338="No","",GetMatchingValue($XFD$9,"Original","Control Number",Q$2,$A338)))</f>
        <v/>
      </c>
      <c r="R338" s="34" t="str" cm="1">
        <f t="array" ref="R338">IF($A338="","",IF($J338="No","",GetMatchingValue($XFD$9,"Original","Control Number",R$2,$A338)))</f>
        <v/>
      </c>
      <c r="S338" s="34" t="str" cm="1">
        <f t="array" ref="S338">IF($A338="","",IF($J338="No","",GetMatchingValue($XFD$9,"Original","Control Number",S$2,$A338)))</f>
        <v/>
      </c>
      <c r="T338" s="34" t="str" cm="1">
        <f t="array" ref="T338">IF($A338="","",IF($J338="No","",GetMatchingValue($XFD$9,"Original","Control Number",T$2,$A338)))</f>
        <v/>
      </c>
      <c r="U338" s="34" t="str" cm="1">
        <f t="array" ref="U338">IF($A338="","",IF($J338="No","",GetMatchingValue($XFD$9,"Original","Control Number",U$2,$A338)))</f>
        <v/>
      </c>
      <c r="V338" s="14"/>
      <c r="W338" s="17"/>
      <c r="X338" s="17"/>
      <c r="Y338" s="17"/>
      <c r="Z338" s="13"/>
      <c r="AA338" s="13"/>
      <c r="AB338" s="13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3"/>
    </row>
    <row r="339" spans="1:45" ht="40.5" customHeight="1" x14ac:dyDescent="0.2">
      <c r="A339" s="19"/>
      <c r="B339" s="19"/>
      <c r="C339" s="15"/>
      <c r="D339" s="15"/>
      <c r="E339" s="13"/>
      <c r="F339" s="34" t="str" cm="1">
        <f t="array" ref="F339">IF($A339="","",GetMatchingValue($XFD$8,"Original","Control Number",F$2,$A339))</f>
        <v/>
      </c>
      <c r="G339" s="34" t="str" cm="1">
        <f t="array" ref="G339">IF($A339="","",GetMatchingValue($XFD$8,"Original","Control Number",G$2,$A339))</f>
        <v/>
      </c>
      <c r="H339" s="34" t="str" cm="1">
        <f t="array" ref="H339">IF($A339="","",GetMatchingValue($XFD$8,"Original","Control Number",H$2,$A339))</f>
        <v/>
      </c>
      <c r="I339" s="13"/>
      <c r="J339" s="13" t="str" cm="1">
        <f t="array" ref="J339">IF($A339="","",CheckControlNumberExists($XFD$9, "Original", $A339))</f>
        <v/>
      </c>
      <c r="K339" s="34" t="str" cm="1">
        <f t="array" ref="K339">IF($A339="","",IF($J339="No","",GetMatchingValue($XFD$9,"Original","Control Number",K$2,$A339)))</f>
        <v/>
      </c>
      <c r="L339" s="34" t="str" cm="1">
        <f t="array" ref="L339">IF($A339="","",IF($J339="No","",GetMatchingValue($XFD$9,"Original","Control Number",L$2,$A339)))</f>
        <v/>
      </c>
      <c r="M339" s="13" t="str">
        <f t="shared" ca="1" si="7"/>
        <v/>
      </c>
      <c r="N339" s="16"/>
      <c r="O339" s="34" t="str" cm="1">
        <f t="array" ref="O339">IF($A339="","",IF($J339="No","",GetMatchingValue($XFD$9,"Original","Control Number",O$2,$A339)))</f>
        <v/>
      </c>
      <c r="P339" s="34" t="str" cm="1">
        <f t="array" ref="P339">IF($A339="","",IF($J339="No","",GetMatchingValue($XFD$9,"Original","Control Number",P$2,$A339)))</f>
        <v/>
      </c>
      <c r="Q339" s="34" t="str" cm="1">
        <f t="array" ref="Q339">IF($A339="","",IF($J339="No","",GetMatchingValue($XFD$9,"Original","Control Number",Q$2,$A339)))</f>
        <v/>
      </c>
      <c r="R339" s="34" t="str" cm="1">
        <f t="array" ref="R339">IF($A339="","",IF($J339="No","",GetMatchingValue($XFD$9,"Original","Control Number",R$2,$A339)))</f>
        <v/>
      </c>
      <c r="S339" s="34" t="str" cm="1">
        <f t="array" ref="S339">IF($A339="","",IF($J339="No","",GetMatchingValue($XFD$9,"Original","Control Number",S$2,$A339)))</f>
        <v/>
      </c>
      <c r="T339" s="34" t="str" cm="1">
        <f t="array" ref="T339">IF($A339="","",IF($J339="No","",GetMatchingValue($XFD$9,"Original","Control Number",T$2,$A339)))</f>
        <v/>
      </c>
      <c r="U339" s="34" t="str" cm="1">
        <f t="array" ref="U339">IF($A339="","",IF($J339="No","",GetMatchingValue($XFD$9,"Original","Control Number",U$2,$A339)))</f>
        <v/>
      </c>
      <c r="V339" s="14"/>
      <c r="W339" s="17"/>
      <c r="X339" s="17"/>
      <c r="Y339" s="17"/>
      <c r="Z339" s="13"/>
      <c r="AA339" s="13"/>
      <c r="AB339" s="13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3"/>
    </row>
    <row r="340" spans="1:45" ht="40.5" customHeight="1" x14ac:dyDescent="0.2">
      <c r="A340" s="19"/>
      <c r="B340" s="19"/>
      <c r="C340" s="15"/>
      <c r="D340" s="15"/>
      <c r="E340" s="13"/>
      <c r="F340" s="34" t="str" cm="1">
        <f t="array" ref="F340">IF($A340="","",GetMatchingValue($XFD$8,"Original","Control Number",F$2,$A340))</f>
        <v/>
      </c>
      <c r="G340" s="34" t="str" cm="1">
        <f t="array" ref="G340">IF($A340="","",GetMatchingValue($XFD$8,"Original","Control Number",G$2,$A340))</f>
        <v/>
      </c>
      <c r="H340" s="34" t="str" cm="1">
        <f t="array" ref="H340">IF($A340="","",GetMatchingValue($XFD$8,"Original","Control Number",H$2,$A340))</f>
        <v/>
      </c>
      <c r="I340" s="13"/>
      <c r="J340" s="13" t="str" cm="1">
        <f t="array" ref="J340">IF($A340="","",CheckControlNumberExists($XFD$9, "Original", $A340))</f>
        <v/>
      </c>
      <c r="K340" s="34" t="str" cm="1">
        <f t="array" ref="K340">IF($A340="","",IF($J340="No","",GetMatchingValue($XFD$9,"Original","Control Number",K$2,$A340)))</f>
        <v/>
      </c>
      <c r="L340" s="34" t="str" cm="1">
        <f t="array" ref="L340">IF($A340="","",IF($J340="No","",GetMatchingValue($XFD$9,"Original","Control Number",L$2,$A340)))</f>
        <v/>
      </c>
      <c r="M340" s="13" t="str">
        <f t="shared" ca="1" si="7"/>
        <v/>
      </c>
      <c r="N340" s="16"/>
      <c r="O340" s="34" t="str" cm="1">
        <f t="array" ref="O340">IF($A340="","",IF($J340="No","",GetMatchingValue($XFD$9,"Original","Control Number",O$2,$A340)))</f>
        <v/>
      </c>
      <c r="P340" s="34" t="str" cm="1">
        <f t="array" ref="P340">IF($A340="","",IF($J340="No","",GetMatchingValue($XFD$9,"Original","Control Number",P$2,$A340)))</f>
        <v/>
      </c>
      <c r="Q340" s="34" t="str" cm="1">
        <f t="array" ref="Q340">IF($A340="","",IF($J340="No","",GetMatchingValue($XFD$9,"Original","Control Number",Q$2,$A340)))</f>
        <v/>
      </c>
      <c r="R340" s="34" t="str" cm="1">
        <f t="array" ref="R340">IF($A340="","",IF($J340="No","",GetMatchingValue($XFD$9,"Original","Control Number",R$2,$A340)))</f>
        <v/>
      </c>
      <c r="S340" s="34" t="str" cm="1">
        <f t="array" ref="S340">IF($A340="","",IF($J340="No","",GetMatchingValue($XFD$9,"Original","Control Number",S$2,$A340)))</f>
        <v/>
      </c>
      <c r="T340" s="34" t="str" cm="1">
        <f t="array" ref="T340">IF($A340="","",IF($J340="No","",GetMatchingValue($XFD$9,"Original","Control Number",T$2,$A340)))</f>
        <v/>
      </c>
      <c r="U340" s="34" t="str" cm="1">
        <f t="array" ref="U340">IF($A340="","",IF($J340="No","",GetMatchingValue($XFD$9,"Original","Control Number",U$2,$A340)))</f>
        <v/>
      </c>
      <c r="V340" s="14"/>
      <c r="W340" s="17"/>
      <c r="X340" s="17"/>
      <c r="Y340" s="17"/>
      <c r="Z340" s="13"/>
      <c r="AA340" s="13"/>
      <c r="AB340" s="13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3"/>
    </row>
    <row r="341" spans="1:45" ht="40.5" customHeight="1" x14ac:dyDescent="0.2">
      <c r="A341" s="19"/>
      <c r="B341" s="19"/>
      <c r="C341" s="15"/>
      <c r="D341" s="15"/>
      <c r="E341" s="13"/>
      <c r="F341" s="34" t="str" cm="1">
        <f t="array" ref="F341">IF($A341="","",GetMatchingValue($XFD$8,"Original","Control Number",F$2,$A341))</f>
        <v/>
      </c>
      <c r="G341" s="34" t="str" cm="1">
        <f t="array" ref="G341">IF($A341="","",GetMatchingValue($XFD$8,"Original","Control Number",G$2,$A341))</f>
        <v/>
      </c>
      <c r="H341" s="34" t="str" cm="1">
        <f t="array" ref="H341">IF($A341="","",GetMatchingValue($XFD$8,"Original","Control Number",H$2,$A341))</f>
        <v/>
      </c>
      <c r="I341" s="13"/>
      <c r="J341" s="13" t="str" cm="1">
        <f t="array" ref="J341">IF($A341="","",CheckControlNumberExists($XFD$9, "Original", $A341))</f>
        <v/>
      </c>
      <c r="K341" s="34" t="str" cm="1">
        <f t="array" ref="K341">IF($A341="","",IF($J341="No","",GetMatchingValue($XFD$9,"Original","Control Number",K$2,$A341)))</f>
        <v/>
      </c>
      <c r="L341" s="34" t="str" cm="1">
        <f t="array" ref="L341">IF($A341="","",IF($J341="No","",GetMatchingValue($XFD$9,"Original","Control Number",L$2,$A341)))</f>
        <v/>
      </c>
      <c r="M341" s="13" t="str">
        <f t="shared" ca="1" si="7"/>
        <v/>
      </c>
      <c r="N341" s="16"/>
      <c r="O341" s="34" t="str" cm="1">
        <f t="array" ref="O341">IF($A341="","",IF($J341="No","",GetMatchingValue($XFD$9,"Original","Control Number",O$2,$A341)))</f>
        <v/>
      </c>
      <c r="P341" s="34" t="str" cm="1">
        <f t="array" ref="P341">IF($A341="","",IF($J341="No","",GetMatchingValue($XFD$9,"Original","Control Number",P$2,$A341)))</f>
        <v/>
      </c>
      <c r="Q341" s="34" t="str" cm="1">
        <f t="array" ref="Q341">IF($A341="","",IF($J341="No","",GetMatchingValue($XFD$9,"Original","Control Number",Q$2,$A341)))</f>
        <v/>
      </c>
      <c r="R341" s="34" t="str" cm="1">
        <f t="array" ref="R341">IF($A341="","",IF($J341="No","",GetMatchingValue($XFD$9,"Original","Control Number",R$2,$A341)))</f>
        <v/>
      </c>
      <c r="S341" s="34" t="str" cm="1">
        <f t="array" ref="S341">IF($A341="","",IF($J341="No","",GetMatchingValue($XFD$9,"Original","Control Number",S$2,$A341)))</f>
        <v/>
      </c>
      <c r="T341" s="34" t="str" cm="1">
        <f t="array" ref="T341">IF($A341="","",IF($J341="No","",GetMatchingValue($XFD$9,"Original","Control Number",T$2,$A341)))</f>
        <v/>
      </c>
      <c r="U341" s="34" t="str" cm="1">
        <f t="array" ref="U341">IF($A341="","",IF($J341="No","",GetMatchingValue($XFD$9,"Original","Control Number",U$2,$A341)))</f>
        <v/>
      </c>
      <c r="V341" s="14"/>
      <c r="W341" s="17"/>
      <c r="X341" s="17"/>
      <c r="Y341" s="17"/>
      <c r="Z341" s="13"/>
      <c r="AA341" s="13"/>
      <c r="AB341" s="13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3"/>
    </row>
    <row r="342" spans="1:45" ht="40.5" customHeight="1" x14ac:dyDescent="0.2">
      <c r="A342" s="19"/>
      <c r="B342" s="19"/>
      <c r="C342" s="15"/>
      <c r="D342" s="15"/>
      <c r="E342" s="13"/>
      <c r="F342" s="34" t="str" cm="1">
        <f t="array" ref="F342">IF($A342="","",GetMatchingValue($XFD$8,"Original","Control Number",F$2,$A342))</f>
        <v/>
      </c>
      <c r="G342" s="34" t="str" cm="1">
        <f t="array" ref="G342">IF($A342="","",GetMatchingValue($XFD$8,"Original","Control Number",G$2,$A342))</f>
        <v/>
      </c>
      <c r="H342" s="34" t="str" cm="1">
        <f t="array" ref="H342">IF($A342="","",GetMatchingValue($XFD$8,"Original","Control Number",H$2,$A342))</f>
        <v/>
      </c>
      <c r="I342" s="13"/>
      <c r="J342" s="13" t="str" cm="1">
        <f t="array" ref="J342">IF($A342="","",CheckControlNumberExists($XFD$9, "Original", $A342))</f>
        <v/>
      </c>
      <c r="K342" s="34" t="str" cm="1">
        <f t="array" ref="K342">IF($A342="","",IF($J342="No","",GetMatchingValue($XFD$9,"Original","Control Number",K$2,$A342)))</f>
        <v/>
      </c>
      <c r="L342" s="34" t="str" cm="1">
        <f t="array" ref="L342">IF($A342="","",IF($J342="No","",GetMatchingValue($XFD$9,"Original","Control Number",L$2,$A342)))</f>
        <v/>
      </c>
      <c r="M342" s="13" t="str">
        <f t="shared" ca="1" si="7"/>
        <v/>
      </c>
      <c r="N342" s="16"/>
      <c r="O342" s="34" t="str" cm="1">
        <f t="array" ref="O342">IF($A342="","",IF($J342="No","",GetMatchingValue($XFD$9,"Original","Control Number",O$2,$A342)))</f>
        <v/>
      </c>
      <c r="P342" s="34" t="str" cm="1">
        <f t="array" ref="P342">IF($A342="","",IF($J342="No","",GetMatchingValue($XFD$9,"Original","Control Number",P$2,$A342)))</f>
        <v/>
      </c>
      <c r="Q342" s="34" t="str" cm="1">
        <f t="array" ref="Q342">IF($A342="","",IF($J342="No","",GetMatchingValue($XFD$9,"Original","Control Number",Q$2,$A342)))</f>
        <v/>
      </c>
      <c r="R342" s="34" t="str" cm="1">
        <f t="array" ref="R342">IF($A342="","",IF($J342="No","",GetMatchingValue($XFD$9,"Original","Control Number",R$2,$A342)))</f>
        <v/>
      </c>
      <c r="S342" s="34" t="str" cm="1">
        <f t="array" ref="S342">IF($A342="","",IF($J342="No","",GetMatchingValue($XFD$9,"Original","Control Number",S$2,$A342)))</f>
        <v/>
      </c>
      <c r="T342" s="34" t="str" cm="1">
        <f t="array" ref="T342">IF($A342="","",IF($J342="No","",GetMatchingValue($XFD$9,"Original","Control Number",T$2,$A342)))</f>
        <v/>
      </c>
      <c r="U342" s="34" t="str" cm="1">
        <f t="array" ref="U342">IF($A342="","",IF($J342="No","",GetMatchingValue($XFD$9,"Original","Control Number",U$2,$A342)))</f>
        <v/>
      </c>
      <c r="V342" s="14"/>
      <c r="W342" s="17"/>
      <c r="X342" s="17"/>
      <c r="Y342" s="17"/>
      <c r="Z342" s="13"/>
      <c r="AA342" s="13"/>
      <c r="AB342" s="13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3"/>
    </row>
    <row r="343" spans="1:45" ht="40.5" customHeight="1" x14ac:dyDescent="0.2">
      <c r="A343" s="19"/>
      <c r="B343" s="19"/>
      <c r="C343" s="15"/>
      <c r="D343" s="15"/>
      <c r="E343" s="13"/>
      <c r="F343" s="34" t="str" cm="1">
        <f t="array" ref="F343">IF($A343="","",GetMatchingValue($XFD$8,"Original","Control Number",F$2,$A343))</f>
        <v/>
      </c>
      <c r="G343" s="34" t="str" cm="1">
        <f t="array" ref="G343">IF($A343="","",GetMatchingValue($XFD$8,"Original","Control Number",G$2,$A343))</f>
        <v/>
      </c>
      <c r="H343" s="34" t="str" cm="1">
        <f t="array" ref="H343">IF($A343="","",GetMatchingValue($XFD$8,"Original","Control Number",H$2,$A343))</f>
        <v/>
      </c>
      <c r="I343" s="13"/>
      <c r="J343" s="13" t="str" cm="1">
        <f t="array" ref="J343">IF($A343="","",CheckControlNumberExists($XFD$9, "Original", $A343))</f>
        <v/>
      </c>
      <c r="K343" s="34" t="str" cm="1">
        <f t="array" ref="K343">IF($A343="","",IF($J343="No","",GetMatchingValue($XFD$9,"Original","Control Number",K$2,$A343)))</f>
        <v/>
      </c>
      <c r="L343" s="34" t="str" cm="1">
        <f t="array" ref="L343">IF($A343="","",IF($J343="No","",GetMatchingValue($XFD$9,"Original","Control Number",L$2,$A343)))</f>
        <v/>
      </c>
      <c r="M343" s="13" t="str">
        <f t="shared" ca="1" si="7"/>
        <v/>
      </c>
      <c r="N343" s="16"/>
      <c r="O343" s="34" t="str" cm="1">
        <f t="array" ref="O343">IF($A343="","",IF($J343="No","",GetMatchingValue($XFD$9,"Original","Control Number",O$2,$A343)))</f>
        <v/>
      </c>
      <c r="P343" s="34" t="str" cm="1">
        <f t="array" ref="P343">IF($A343="","",IF($J343="No","",GetMatchingValue($XFD$9,"Original","Control Number",P$2,$A343)))</f>
        <v/>
      </c>
      <c r="Q343" s="34" t="str" cm="1">
        <f t="array" ref="Q343">IF($A343="","",IF($J343="No","",GetMatchingValue($XFD$9,"Original","Control Number",Q$2,$A343)))</f>
        <v/>
      </c>
      <c r="R343" s="34" t="str" cm="1">
        <f t="array" ref="R343">IF($A343="","",IF($J343="No","",GetMatchingValue($XFD$9,"Original","Control Number",R$2,$A343)))</f>
        <v/>
      </c>
      <c r="S343" s="34" t="str" cm="1">
        <f t="array" ref="S343">IF($A343="","",IF($J343="No","",GetMatchingValue($XFD$9,"Original","Control Number",S$2,$A343)))</f>
        <v/>
      </c>
      <c r="T343" s="34" t="str" cm="1">
        <f t="array" ref="T343">IF($A343="","",IF($J343="No","",GetMatchingValue($XFD$9,"Original","Control Number",T$2,$A343)))</f>
        <v/>
      </c>
      <c r="U343" s="34" t="str" cm="1">
        <f t="array" ref="U343">IF($A343="","",IF($J343="No","",GetMatchingValue($XFD$9,"Original","Control Number",U$2,$A343)))</f>
        <v/>
      </c>
      <c r="V343" s="14"/>
      <c r="W343" s="17"/>
      <c r="X343" s="17"/>
      <c r="Y343" s="17"/>
      <c r="Z343" s="13"/>
      <c r="AA343" s="13"/>
      <c r="AB343" s="13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3"/>
    </row>
    <row r="344" spans="1:45" ht="40.5" customHeight="1" x14ac:dyDescent="0.2">
      <c r="A344" s="19"/>
      <c r="B344" s="19"/>
      <c r="C344" s="15"/>
      <c r="D344" s="15"/>
      <c r="E344" s="13"/>
      <c r="F344" s="34" t="str" cm="1">
        <f t="array" ref="F344">IF($A344="","",GetMatchingValue($XFD$8,"Original","Control Number",F$2,$A344))</f>
        <v/>
      </c>
      <c r="G344" s="34" t="str" cm="1">
        <f t="array" ref="G344">IF($A344="","",GetMatchingValue($XFD$8,"Original","Control Number",G$2,$A344))</f>
        <v/>
      </c>
      <c r="H344" s="34" t="str" cm="1">
        <f t="array" ref="H344">IF($A344="","",GetMatchingValue($XFD$8,"Original","Control Number",H$2,$A344))</f>
        <v/>
      </c>
      <c r="I344" s="13"/>
      <c r="J344" s="13" t="str" cm="1">
        <f t="array" ref="J344">IF($A344="","",CheckControlNumberExists($XFD$9, "Original", $A344))</f>
        <v/>
      </c>
      <c r="K344" s="34" t="str" cm="1">
        <f t="array" ref="K344">IF($A344="","",IF($J344="No","",GetMatchingValue($XFD$9,"Original","Control Number",K$2,$A344)))</f>
        <v/>
      </c>
      <c r="L344" s="34" t="str" cm="1">
        <f t="array" ref="L344">IF($A344="","",IF($J344="No","",GetMatchingValue($XFD$9,"Original","Control Number",L$2,$A344)))</f>
        <v/>
      </c>
      <c r="M344" s="13" t="str">
        <f t="shared" ca="1" si="7"/>
        <v/>
      </c>
      <c r="N344" s="16"/>
      <c r="O344" s="34" t="str" cm="1">
        <f t="array" ref="O344">IF($A344="","",IF($J344="No","",GetMatchingValue($XFD$9,"Original","Control Number",O$2,$A344)))</f>
        <v/>
      </c>
      <c r="P344" s="34" t="str" cm="1">
        <f t="array" ref="P344">IF($A344="","",IF($J344="No","",GetMatchingValue($XFD$9,"Original","Control Number",P$2,$A344)))</f>
        <v/>
      </c>
      <c r="Q344" s="34" t="str" cm="1">
        <f t="array" ref="Q344">IF($A344="","",IF($J344="No","",GetMatchingValue($XFD$9,"Original","Control Number",Q$2,$A344)))</f>
        <v/>
      </c>
      <c r="R344" s="34" t="str" cm="1">
        <f t="array" ref="R344">IF($A344="","",IF($J344="No","",GetMatchingValue($XFD$9,"Original","Control Number",R$2,$A344)))</f>
        <v/>
      </c>
      <c r="S344" s="34" t="str" cm="1">
        <f t="array" ref="S344">IF($A344="","",IF($J344="No","",GetMatchingValue($XFD$9,"Original","Control Number",S$2,$A344)))</f>
        <v/>
      </c>
      <c r="T344" s="34" t="str" cm="1">
        <f t="array" ref="T344">IF($A344="","",IF($J344="No","",GetMatchingValue($XFD$9,"Original","Control Number",T$2,$A344)))</f>
        <v/>
      </c>
      <c r="U344" s="34" t="str" cm="1">
        <f t="array" ref="U344">IF($A344="","",IF($J344="No","",GetMatchingValue($XFD$9,"Original","Control Number",U$2,$A344)))</f>
        <v/>
      </c>
      <c r="V344" s="14"/>
      <c r="W344" s="17"/>
      <c r="X344" s="17"/>
      <c r="Y344" s="17"/>
      <c r="Z344" s="13"/>
      <c r="AA344" s="13"/>
      <c r="AB344" s="13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3"/>
    </row>
    <row r="345" spans="1:45" ht="40.5" customHeight="1" x14ac:dyDescent="0.2">
      <c r="A345" s="19"/>
      <c r="B345" s="19"/>
      <c r="C345" s="15"/>
      <c r="D345" s="15"/>
      <c r="E345" s="13"/>
      <c r="F345" s="34" t="str" cm="1">
        <f t="array" ref="F345">IF($A345="","",GetMatchingValue($XFD$8,"Original","Control Number",F$2,$A345))</f>
        <v/>
      </c>
      <c r="G345" s="34" t="str" cm="1">
        <f t="array" ref="G345">IF($A345="","",GetMatchingValue($XFD$8,"Original","Control Number",G$2,$A345))</f>
        <v/>
      </c>
      <c r="H345" s="34" t="str" cm="1">
        <f t="array" ref="H345">IF($A345="","",GetMatchingValue($XFD$8,"Original","Control Number",H$2,$A345))</f>
        <v/>
      </c>
      <c r="I345" s="13"/>
      <c r="J345" s="13" t="str" cm="1">
        <f t="array" ref="J345">IF($A345="","",CheckControlNumberExists($XFD$9, "Original", $A345))</f>
        <v/>
      </c>
      <c r="K345" s="34" t="str" cm="1">
        <f t="array" ref="K345">IF($A345="","",IF($J345="No","",GetMatchingValue($XFD$9,"Original","Control Number",K$2,$A345)))</f>
        <v/>
      </c>
      <c r="L345" s="34" t="str" cm="1">
        <f t="array" ref="L345">IF($A345="","",IF($J345="No","",GetMatchingValue($XFD$9,"Original","Control Number",L$2,$A345)))</f>
        <v/>
      </c>
      <c r="M345" s="13" t="str">
        <f t="shared" ca="1" si="7"/>
        <v/>
      </c>
      <c r="N345" s="16"/>
      <c r="O345" s="34" t="str" cm="1">
        <f t="array" ref="O345">IF($A345="","",IF($J345="No","",GetMatchingValue($XFD$9,"Original","Control Number",O$2,$A345)))</f>
        <v/>
      </c>
      <c r="P345" s="34" t="str" cm="1">
        <f t="array" ref="P345">IF($A345="","",IF($J345="No","",GetMatchingValue($XFD$9,"Original","Control Number",P$2,$A345)))</f>
        <v/>
      </c>
      <c r="Q345" s="34" t="str" cm="1">
        <f t="array" ref="Q345">IF($A345="","",IF($J345="No","",GetMatchingValue($XFD$9,"Original","Control Number",Q$2,$A345)))</f>
        <v/>
      </c>
      <c r="R345" s="34" t="str" cm="1">
        <f t="array" ref="R345">IF($A345="","",IF($J345="No","",GetMatchingValue($XFD$9,"Original","Control Number",R$2,$A345)))</f>
        <v/>
      </c>
      <c r="S345" s="34" t="str" cm="1">
        <f t="array" ref="S345">IF($A345="","",IF($J345="No","",GetMatchingValue($XFD$9,"Original","Control Number",S$2,$A345)))</f>
        <v/>
      </c>
      <c r="T345" s="34" t="str" cm="1">
        <f t="array" ref="T345">IF($A345="","",IF($J345="No","",GetMatchingValue($XFD$9,"Original","Control Number",T$2,$A345)))</f>
        <v/>
      </c>
      <c r="U345" s="34" t="str" cm="1">
        <f t="array" ref="U345">IF($A345="","",IF($J345="No","",GetMatchingValue($XFD$9,"Original","Control Number",U$2,$A345)))</f>
        <v/>
      </c>
      <c r="V345" s="14"/>
      <c r="W345" s="17"/>
      <c r="X345" s="17"/>
      <c r="Y345" s="17"/>
      <c r="Z345" s="13"/>
      <c r="AA345" s="13"/>
      <c r="AB345" s="13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3"/>
    </row>
    <row r="346" spans="1:45" ht="40.5" customHeight="1" x14ac:dyDescent="0.2">
      <c r="A346" s="19"/>
      <c r="B346" s="19"/>
      <c r="C346" s="15"/>
      <c r="D346" s="15"/>
      <c r="E346" s="13"/>
      <c r="F346" s="34" t="str" cm="1">
        <f t="array" ref="F346">IF($A346="","",GetMatchingValue($XFD$8,"Original","Control Number",F$2,$A346))</f>
        <v/>
      </c>
      <c r="G346" s="34" t="str" cm="1">
        <f t="array" ref="G346">IF($A346="","",GetMatchingValue($XFD$8,"Original","Control Number",G$2,$A346))</f>
        <v/>
      </c>
      <c r="H346" s="34" t="str" cm="1">
        <f t="array" ref="H346">IF($A346="","",GetMatchingValue($XFD$8,"Original","Control Number",H$2,$A346))</f>
        <v/>
      </c>
      <c r="I346" s="13"/>
      <c r="J346" s="13" t="str" cm="1">
        <f t="array" ref="J346">IF($A346="","",CheckControlNumberExists($XFD$9, "Original", $A346))</f>
        <v/>
      </c>
      <c r="K346" s="34" t="str" cm="1">
        <f t="array" ref="K346">IF($A346="","",IF($J346="No","",GetMatchingValue($XFD$9,"Original","Control Number",K$2,$A346)))</f>
        <v/>
      </c>
      <c r="L346" s="34" t="str" cm="1">
        <f t="array" ref="L346">IF($A346="","",IF($J346="No","",GetMatchingValue($XFD$9,"Original","Control Number",L$2,$A346)))</f>
        <v/>
      </c>
      <c r="M346" s="13" t="str">
        <f t="shared" ca="1" si="7"/>
        <v/>
      </c>
      <c r="N346" s="16"/>
      <c r="O346" s="34" t="str" cm="1">
        <f t="array" ref="O346">IF($A346="","",IF($J346="No","",GetMatchingValue($XFD$9,"Original","Control Number",O$2,$A346)))</f>
        <v/>
      </c>
      <c r="P346" s="34" t="str" cm="1">
        <f t="array" ref="P346">IF($A346="","",IF($J346="No","",GetMatchingValue($XFD$9,"Original","Control Number",P$2,$A346)))</f>
        <v/>
      </c>
      <c r="Q346" s="34" t="str" cm="1">
        <f t="array" ref="Q346">IF($A346="","",IF($J346="No","",GetMatchingValue($XFD$9,"Original","Control Number",Q$2,$A346)))</f>
        <v/>
      </c>
      <c r="R346" s="34" t="str" cm="1">
        <f t="array" ref="R346">IF($A346="","",IF($J346="No","",GetMatchingValue($XFD$9,"Original","Control Number",R$2,$A346)))</f>
        <v/>
      </c>
      <c r="S346" s="34" t="str" cm="1">
        <f t="array" ref="S346">IF($A346="","",IF($J346="No","",GetMatchingValue($XFD$9,"Original","Control Number",S$2,$A346)))</f>
        <v/>
      </c>
      <c r="T346" s="34" t="str" cm="1">
        <f t="array" ref="T346">IF($A346="","",IF($J346="No","",GetMatchingValue($XFD$9,"Original","Control Number",T$2,$A346)))</f>
        <v/>
      </c>
      <c r="U346" s="34" t="str" cm="1">
        <f t="array" ref="U346">IF($A346="","",IF($J346="No","",GetMatchingValue($XFD$9,"Original","Control Number",U$2,$A346)))</f>
        <v/>
      </c>
      <c r="V346" s="14"/>
      <c r="W346" s="17"/>
      <c r="X346" s="17"/>
      <c r="Y346" s="17"/>
      <c r="Z346" s="13"/>
      <c r="AA346" s="13"/>
      <c r="AB346" s="13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3"/>
    </row>
    <row r="347" spans="1:45" ht="40.5" customHeight="1" x14ac:dyDescent="0.2">
      <c r="A347" s="19"/>
      <c r="B347" s="19"/>
      <c r="C347" s="15"/>
      <c r="D347" s="15"/>
      <c r="E347" s="13"/>
      <c r="F347" s="34" t="str" cm="1">
        <f t="array" ref="F347">IF($A347="","",GetMatchingValue($XFD$8,"Original","Control Number",F$2,$A347))</f>
        <v/>
      </c>
      <c r="G347" s="34" t="str" cm="1">
        <f t="array" ref="G347">IF($A347="","",GetMatchingValue($XFD$8,"Original","Control Number",G$2,$A347))</f>
        <v/>
      </c>
      <c r="H347" s="34" t="str" cm="1">
        <f t="array" ref="H347">IF($A347="","",GetMatchingValue($XFD$8,"Original","Control Number",H$2,$A347))</f>
        <v/>
      </c>
      <c r="I347" s="13"/>
      <c r="J347" s="13" t="str" cm="1">
        <f t="array" ref="J347">IF($A347="","",CheckControlNumberExists($XFD$9, "Original", $A347))</f>
        <v/>
      </c>
      <c r="K347" s="34" t="str" cm="1">
        <f t="array" ref="K347">IF($A347="","",IF($J347="No","",GetMatchingValue($XFD$9,"Original","Control Number",K$2,$A347)))</f>
        <v/>
      </c>
      <c r="L347" s="34" t="str" cm="1">
        <f t="array" ref="L347">IF($A347="","",IF($J347="No","",GetMatchingValue($XFD$9,"Original","Control Number",L$2,$A347)))</f>
        <v/>
      </c>
      <c r="M347" s="13" t="str">
        <f t="shared" ca="1" si="7"/>
        <v/>
      </c>
      <c r="N347" s="16"/>
      <c r="O347" s="34" t="str" cm="1">
        <f t="array" ref="O347">IF($A347="","",IF($J347="No","",GetMatchingValue($XFD$9,"Original","Control Number",O$2,$A347)))</f>
        <v/>
      </c>
      <c r="P347" s="34" t="str" cm="1">
        <f t="array" ref="P347">IF($A347="","",IF($J347="No","",GetMatchingValue($XFD$9,"Original","Control Number",P$2,$A347)))</f>
        <v/>
      </c>
      <c r="Q347" s="34" t="str" cm="1">
        <f t="array" ref="Q347">IF($A347="","",IF($J347="No","",GetMatchingValue($XFD$9,"Original","Control Number",Q$2,$A347)))</f>
        <v/>
      </c>
      <c r="R347" s="34" t="str" cm="1">
        <f t="array" ref="R347">IF($A347="","",IF($J347="No","",GetMatchingValue($XFD$9,"Original","Control Number",R$2,$A347)))</f>
        <v/>
      </c>
      <c r="S347" s="34" t="str" cm="1">
        <f t="array" ref="S347">IF($A347="","",IF($J347="No","",GetMatchingValue($XFD$9,"Original","Control Number",S$2,$A347)))</f>
        <v/>
      </c>
      <c r="T347" s="34" t="str" cm="1">
        <f t="array" ref="T347">IF($A347="","",IF($J347="No","",GetMatchingValue($XFD$9,"Original","Control Number",T$2,$A347)))</f>
        <v/>
      </c>
      <c r="U347" s="34" t="str" cm="1">
        <f t="array" ref="U347">IF($A347="","",IF($J347="No","",GetMatchingValue($XFD$9,"Original","Control Number",U$2,$A347)))</f>
        <v/>
      </c>
      <c r="V347" s="14"/>
      <c r="W347" s="17"/>
      <c r="X347" s="17"/>
      <c r="Y347" s="17"/>
      <c r="Z347" s="13"/>
      <c r="AA347" s="13"/>
      <c r="AB347" s="13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3"/>
    </row>
    <row r="348" spans="1:45" ht="40.5" customHeight="1" x14ac:dyDescent="0.2">
      <c r="A348" s="19"/>
      <c r="B348" s="19"/>
      <c r="C348" s="15"/>
      <c r="D348" s="15"/>
      <c r="E348" s="13"/>
      <c r="F348" s="34" t="str" cm="1">
        <f t="array" ref="F348">IF($A348="","",GetMatchingValue($XFD$8,"Original","Control Number",F$2,$A348))</f>
        <v/>
      </c>
      <c r="G348" s="34" t="str" cm="1">
        <f t="array" ref="G348">IF($A348="","",GetMatchingValue($XFD$8,"Original","Control Number",G$2,$A348))</f>
        <v/>
      </c>
      <c r="H348" s="34" t="str" cm="1">
        <f t="array" ref="H348">IF($A348="","",GetMatchingValue($XFD$8,"Original","Control Number",H$2,$A348))</f>
        <v/>
      </c>
      <c r="I348" s="13"/>
      <c r="J348" s="13" t="str" cm="1">
        <f t="array" ref="J348">IF($A348="","",CheckControlNumberExists($XFD$9, "Original", $A348))</f>
        <v/>
      </c>
      <c r="K348" s="34" t="str" cm="1">
        <f t="array" ref="K348">IF($A348="","",IF($J348="No","",GetMatchingValue($XFD$9,"Original","Control Number",K$2,$A348)))</f>
        <v/>
      </c>
      <c r="L348" s="34" t="str" cm="1">
        <f t="array" ref="L348">IF($A348="","",IF($J348="No","",GetMatchingValue($XFD$9,"Original","Control Number",L$2,$A348)))</f>
        <v/>
      </c>
      <c r="M348" s="13" t="str">
        <f t="shared" ca="1" si="7"/>
        <v/>
      </c>
      <c r="N348" s="16"/>
      <c r="O348" s="34" t="str" cm="1">
        <f t="array" ref="O348">IF($A348="","",IF($J348="No","",GetMatchingValue($XFD$9,"Original","Control Number",O$2,$A348)))</f>
        <v/>
      </c>
      <c r="P348" s="34" t="str" cm="1">
        <f t="array" ref="P348">IF($A348="","",IF($J348="No","",GetMatchingValue($XFD$9,"Original","Control Number",P$2,$A348)))</f>
        <v/>
      </c>
      <c r="Q348" s="34" t="str" cm="1">
        <f t="array" ref="Q348">IF($A348="","",IF($J348="No","",GetMatchingValue($XFD$9,"Original","Control Number",Q$2,$A348)))</f>
        <v/>
      </c>
      <c r="R348" s="34" t="str" cm="1">
        <f t="array" ref="R348">IF($A348="","",IF($J348="No","",GetMatchingValue($XFD$9,"Original","Control Number",R$2,$A348)))</f>
        <v/>
      </c>
      <c r="S348" s="34" t="str" cm="1">
        <f t="array" ref="S348">IF($A348="","",IF($J348="No","",GetMatchingValue($XFD$9,"Original","Control Number",S$2,$A348)))</f>
        <v/>
      </c>
      <c r="T348" s="34" t="str" cm="1">
        <f t="array" ref="T348">IF($A348="","",IF($J348="No","",GetMatchingValue($XFD$9,"Original","Control Number",T$2,$A348)))</f>
        <v/>
      </c>
      <c r="U348" s="34" t="str" cm="1">
        <f t="array" ref="U348">IF($A348="","",IF($J348="No","",GetMatchingValue($XFD$9,"Original","Control Number",U$2,$A348)))</f>
        <v/>
      </c>
      <c r="V348" s="14"/>
      <c r="W348" s="17"/>
      <c r="X348" s="17"/>
      <c r="Y348" s="17"/>
      <c r="Z348" s="13"/>
      <c r="AA348" s="13"/>
      <c r="AB348" s="13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3"/>
    </row>
    <row r="349" spans="1:45" ht="40.5" customHeight="1" x14ac:dyDescent="0.2">
      <c r="A349" s="19"/>
      <c r="B349" s="19"/>
      <c r="C349" s="15"/>
      <c r="D349" s="15"/>
      <c r="E349" s="13"/>
      <c r="F349" s="34" t="str" cm="1">
        <f t="array" ref="F349">IF($A349="","",GetMatchingValue($XFD$8,"Original","Control Number",F$2,$A349))</f>
        <v/>
      </c>
      <c r="G349" s="34" t="str" cm="1">
        <f t="array" ref="G349">IF($A349="","",GetMatchingValue($XFD$8,"Original","Control Number",G$2,$A349))</f>
        <v/>
      </c>
      <c r="H349" s="34" t="str" cm="1">
        <f t="array" ref="H349">IF($A349="","",GetMatchingValue($XFD$8,"Original","Control Number",H$2,$A349))</f>
        <v/>
      </c>
      <c r="I349" s="13"/>
      <c r="J349" s="13" t="str" cm="1">
        <f t="array" ref="J349">IF($A349="","",CheckControlNumberExists($XFD$9, "Original", $A349))</f>
        <v/>
      </c>
      <c r="K349" s="34" t="str" cm="1">
        <f t="array" ref="K349">IF($A349="","",IF($J349="No","",GetMatchingValue($XFD$9,"Original","Control Number",K$2,$A349)))</f>
        <v/>
      </c>
      <c r="L349" s="34" t="str" cm="1">
        <f t="array" ref="L349">IF($A349="","",IF($J349="No","",GetMatchingValue($XFD$9,"Original","Control Number",L$2,$A349)))</f>
        <v/>
      </c>
      <c r="M349" s="13" t="str">
        <f t="shared" ca="1" si="7"/>
        <v/>
      </c>
      <c r="N349" s="16"/>
      <c r="O349" s="34" t="str" cm="1">
        <f t="array" ref="O349">IF($A349="","",IF($J349="No","",GetMatchingValue($XFD$9,"Original","Control Number",O$2,$A349)))</f>
        <v/>
      </c>
      <c r="P349" s="34" t="str" cm="1">
        <f t="array" ref="P349">IF($A349="","",IF($J349="No","",GetMatchingValue($XFD$9,"Original","Control Number",P$2,$A349)))</f>
        <v/>
      </c>
      <c r="Q349" s="34" t="str" cm="1">
        <f t="array" ref="Q349">IF($A349="","",IF($J349="No","",GetMatchingValue($XFD$9,"Original","Control Number",Q$2,$A349)))</f>
        <v/>
      </c>
      <c r="R349" s="34" t="str" cm="1">
        <f t="array" ref="R349">IF($A349="","",IF($J349="No","",GetMatchingValue($XFD$9,"Original","Control Number",R$2,$A349)))</f>
        <v/>
      </c>
      <c r="S349" s="34" t="str" cm="1">
        <f t="array" ref="S349">IF($A349="","",IF($J349="No","",GetMatchingValue($XFD$9,"Original","Control Number",S$2,$A349)))</f>
        <v/>
      </c>
      <c r="T349" s="34" t="str" cm="1">
        <f t="array" ref="T349">IF($A349="","",IF($J349="No","",GetMatchingValue($XFD$9,"Original","Control Number",T$2,$A349)))</f>
        <v/>
      </c>
      <c r="U349" s="34" t="str" cm="1">
        <f t="array" ref="U349">IF($A349="","",IF($J349="No","",GetMatchingValue($XFD$9,"Original","Control Number",U$2,$A349)))</f>
        <v/>
      </c>
      <c r="V349" s="14"/>
      <c r="W349" s="17"/>
      <c r="X349" s="17"/>
      <c r="Y349" s="17"/>
      <c r="Z349" s="13"/>
      <c r="AA349" s="13"/>
      <c r="AB349" s="13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3"/>
    </row>
    <row r="350" spans="1:45" ht="40.5" customHeight="1" x14ac:dyDescent="0.2">
      <c r="A350" s="19"/>
      <c r="B350" s="19"/>
      <c r="C350" s="15"/>
      <c r="D350" s="15"/>
      <c r="E350" s="13"/>
      <c r="F350" s="34" t="str" cm="1">
        <f t="array" ref="F350">IF($A350="","",GetMatchingValue($XFD$8,"Original","Control Number",F$2,$A350))</f>
        <v/>
      </c>
      <c r="G350" s="34" t="str" cm="1">
        <f t="array" ref="G350">IF($A350="","",GetMatchingValue($XFD$8,"Original","Control Number",G$2,$A350))</f>
        <v/>
      </c>
      <c r="H350" s="34" t="str" cm="1">
        <f t="array" ref="H350">IF($A350="","",GetMatchingValue($XFD$8,"Original","Control Number",H$2,$A350))</f>
        <v/>
      </c>
      <c r="I350" s="13"/>
      <c r="J350" s="13" t="str" cm="1">
        <f t="array" ref="J350">IF($A350="","",CheckControlNumberExists($XFD$9, "Original", $A350))</f>
        <v/>
      </c>
      <c r="K350" s="34" t="str" cm="1">
        <f t="array" ref="K350">IF($A350="","",IF($J350="No","",GetMatchingValue($XFD$9,"Original","Control Number",K$2,$A350)))</f>
        <v/>
      </c>
      <c r="L350" s="34" t="str" cm="1">
        <f t="array" ref="L350">IF($A350="","",IF($J350="No","",GetMatchingValue($XFD$9,"Original","Control Number",L$2,$A350)))</f>
        <v/>
      </c>
      <c r="M350" s="13" t="str">
        <f t="shared" ca="1" si="7"/>
        <v/>
      </c>
      <c r="N350" s="16"/>
      <c r="O350" s="34" t="str" cm="1">
        <f t="array" ref="O350">IF($A350="","",IF($J350="No","",GetMatchingValue($XFD$9,"Original","Control Number",O$2,$A350)))</f>
        <v/>
      </c>
      <c r="P350" s="34" t="str" cm="1">
        <f t="array" ref="P350">IF($A350="","",IF($J350="No","",GetMatchingValue($XFD$9,"Original","Control Number",P$2,$A350)))</f>
        <v/>
      </c>
      <c r="Q350" s="34" t="str" cm="1">
        <f t="array" ref="Q350">IF($A350="","",IF($J350="No","",GetMatchingValue($XFD$9,"Original","Control Number",Q$2,$A350)))</f>
        <v/>
      </c>
      <c r="R350" s="34" t="str" cm="1">
        <f t="array" ref="R350">IF($A350="","",IF($J350="No","",GetMatchingValue($XFD$9,"Original","Control Number",R$2,$A350)))</f>
        <v/>
      </c>
      <c r="S350" s="34" t="str" cm="1">
        <f t="array" ref="S350">IF($A350="","",IF($J350="No","",GetMatchingValue($XFD$9,"Original","Control Number",S$2,$A350)))</f>
        <v/>
      </c>
      <c r="T350" s="34" t="str" cm="1">
        <f t="array" ref="T350">IF($A350="","",IF($J350="No","",GetMatchingValue($XFD$9,"Original","Control Number",T$2,$A350)))</f>
        <v/>
      </c>
      <c r="U350" s="34" t="str" cm="1">
        <f t="array" ref="U350">IF($A350="","",IF($J350="No","",GetMatchingValue($XFD$9,"Original","Control Number",U$2,$A350)))</f>
        <v/>
      </c>
      <c r="V350" s="14"/>
      <c r="W350" s="17"/>
      <c r="X350" s="17"/>
      <c r="Y350" s="17"/>
      <c r="Z350" s="13"/>
      <c r="AA350" s="13"/>
      <c r="AB350" s="13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3"/>
    </row>
    <row r="351" spans="1:45" ht="40.5" customHeight="1" x14ac:dyDescent="0.2">
      <c r="A351" s="19"/>
      <c r="B351" s="19"/>
      <c r="C351" s="15"/>
      <c r="D351" s="15"/>
      <c r="E351" s="13"/>
      <c r="F351" s="34" t="str" cm="1">
        <f t="array" ref="F351">IF($A351="","",GetMatchingValue($XFD$8,"Original","Control Number",F$2,$A351))</f>
        <v/>
      </c>
      <c r="G351" s="34" t="str" cm="1">
        <f t="array" ref="G351">IF($A351="","",GetMatchingValue($XFD$8,"Original","Control Number",G$2,$A351))</f>
        <v/>
      </c>
      <c r="H351" s="34" t="str" cm="1">
        <f t="array" ref="H351">IF($A351="","",GetMatchingValue($XFD$8,"Original","Control Number",H$2,$A351))</f>
        <v/>
      </c>
      <c r="I351" s="13"/>
      <c r="J351" s="13" t="str" cm="1">
        <f t="array" ref="J351">IF($A351="","",CheckControlNumberExists($XFD$9, "Original", $A351))</f>
        <v/>
      </c>
      <c r="K351" s="34" t="str" cm="1">
        <f t="array" ref="K351">IF($A351="","",IF($J351="No","",GetMatchingValue($XFD$9,"Original","Control Number",K$2,$A351)))</f>
        <v/>
      </c>
      <c r="L351" s="34" t="str" cm="1">
        <f t="array" ref="L351">IF($A351="","",IF($J351="No","",GetMatchingValue($XFD$9,"Original","Control Number",L$2,$A351)))</f>
        <v/>
      </c>
      <c r="M351" s="13" t="str">
        <f t="shared" ca="1" si="7"/>
        <v/>
      </c>
      <c r="N351" s="16"/>
      <c r="O351" s="34" t="str" cm="1">
        <f t="array" ref="O351">IF($A351="","",IF($J351="No","",GetMatchingValue($XFD$9,"Original","Control Number",O$2,$A351)))</f>
        <v/>
      </c>
      <c r="P351" s="34" t="str" cm="1">
        <f t="array" ref="P351">IF($A351="","",IF($J351="No","",GetMatchingValue($XFD$9,"Original","Control Number",P$2,$A351)))</f>
        <v/>
      </c>
      <c r="Q351" s="34" t="str" cm="1">
        <f t="array" ref="Q351">IF($A351="","",IF($J351="No","",GetMatchingValue($XFD$9,"Original","Control Number",Q$2,$A351)))</f>
        <v/>
      </c>
      <c r="R351" s="34" t="str" cm="1">
        <f t="array" ref="R351">IF($A351="","",IF($J351="No","",GetMatchingValue($XFD$9,"Original","Control Number",R$2,$A351)))</f>
        <v/>
      </c>
      <c r="S351" s="34" t="str" cm="1">
        <f t="array" ref="S351">IF($A351="","",IF($J351="No","",GetMatchingValue($XFD$9,"Original","Control Number",S$2,$A351)))</f>
        <v/>
      </c>
      <c r="T351" s="34" t="str" cm="1">
        <f t="array" ref="T351">IF($A351="","",IF($J351="No","",GetMatchingValue($XFD$9,"Original","Control Number",T$2,$A351)))</f>
        <v/>
      </c>
      <c r="U351" s="34" t="str" cm="1">
        <f t="array" ref="U351">IF($A351="","",IF($J351="No","",GetMatchingValue($XFD$9,"Original","Control Number",U$2,$A351)))</f>
        <v/>
      </c>
      <c r="V351" s="14"/>
      <c r="W351" s="17"/>
      <c r="X351" s="17"/>
      <c r="Y351" s="17"/>
      <c r="Z351" s="13"/>
      <c r="AA351" s="13"/>
      <c r="AB351" s="13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3"/>
    </row>
    <row r="352" spans="1:45" ht="40.5" customHeight="1" x14ac:dyDescent="0.2">
      <c r="A352" s="19"/>
      <c r="B352" s="19"/>
      <c r="C352" s="15"/>
      <c r="D352" s="15"/>
      <c r="E352" s="13"/>
      <c r="F352" s="34" t="str" cm="1">
        <f t="array" ref="F352">IF($A352="","",GetMatchingValue($XFD$8,"Original","Control Number",F$2,$A352))</f>
        <v/>
      </c>
      <c r="G352" s="34" t="str" cm="1">
        <f t="array" ref="G352">IF($A352="","",GetMatchingValue($XFD$8,"Original","Control Number",G$2,$A352))</f>
        <v/>
      </c>
      <c r="H352" s="34" t="str" cm="1">
        <f t="array" ref="H352">IF($A352="","",GetMatchingValue($XFD$8,"Original","Control Number",H$2,$A352))</f>
        <v/>
      </c>
      <c r="I352" s="13"/>
      <c r="J352" s="13" t="str" cm="1">
        <f t="array" ref="J352">IF($A352="","",CheckControlNumberExists($XFD$9, "Original", $A352))</f>
        <v/>
      </c>
      <c r="K352" s="34" t="str" cm="1">
        <f t="array" ref="K352">IF($A352="","",IF($J352="No","",GetMatchingValue($XFD$9,"Original","Control Number",K$2,$A352)))</f>
        <v/>
      </c>
      <c r="L352" s="34" t="str" cm="1">
        <f t="array" ref="L352">IF($A352="","",IF($J352="No","",GetMatchingValue($XFD$9,"Original","Control Number",L$2,$A352)))</f>
        <v/>
      </c>
      <c r="M352" s="13" t="str">
        <f t="shared" ca="1" si="7"/>
        <v/>
      </c>
      <c r="N352" s="16"/>
      <c r="O352" s="34" t="str" cm="1">
        <f t="array" ref="O352">IF($A352="","",IF($J352="No","",GetMatchingValue($XFD$9,"Original","Control Number",O$2,$A352)))</f>
        <v/>
      </c>
      <c r="P352" s="34" t="str" cm="1">
        <f t="array" ref="P352">IF($A352="","",IF($J352="No","",GetMatchingValue($XFD$9,"Original","Control Number",P$2,$A352)))</f>
        <v/>
      </c>
      <c r="Q352" s="34" t="str" cm="1">
        <f t="array" ref="Q352">IF($A352="","",IF($J352="No","",GetMatchingValue($XFD$9,"Original","Control Number",Q$2,$A352)))</f>
        <v/>
      </c>
      <c r="R352" s="34" t="str" cm="1">
        <f t="array" ref="R352">IF($A352="","",IF($J352="No","",GetMatchingValue($XFD$9,"Original","Control Number",R$2,$A352)))</f>
        <v/>
      </c>
      <c r="S352" s="34" t="str" cm="1">
        <f t="array" ref="S352">IF($A352="","",IF($J352="No","",GetMatchingValue($XFD$9,"Original","Control Number",S$2,$A352)))</f>
        <v/>
      </c>
      <c r="T352" s="34" t="str" cm="1">
        <f t="array" ref="T352">IF($A352="","",IF($J352="No","",GetMatchingValue($XFD$9,"Original","Control Number",T$2,$A352)))</f>
        <v/>
      </c>
      <c r="U352" s="34" t="str" cm="1">
        <f t="array" ref="U352">IF($A352="","",IF($J352="No","",GetMatchingValue($XFD$9,"Original","Control Number",U$2,$A352)))</f>
        <v/>
      </c>
      <c r="V352" s="14"/>
      <c r="W352" s="17"/>
      <c r="X352" s="17"/>
      <c r="Y352" s="17"/>
      <c r="Z352" s="13"/>
      <c r="AA352" s="13"/>
      <c r="AB352" s="13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3"/>
    </row>
    <row r="353" spans="1:45" ht="40.5" customHeight="1" x14ac:dyDescent="0.2">
      <c r="A353" s="19"/>
      <c r="B353" s="19"/>
      <c r="C353" s="15"/>
      <c r="D353" s="15"/>
      <c r="E353" s="13"/>
      <c r="F353" s="34" t="str" cm="1">
        <f t="array" ref="F353">IF($A353="","",GetMatchingValue($XFD$8,"Original","Control Number",F$2,$A353))</f>
        <v/>
      </c>
      <c r="G353" s="34" t="str" cm="1">
        <f t="array" ref="G353">IF($A353="","",GetMatchingValue($XFD$8,"Original","Control Number",G$2,$A353))</f>
        <v/>
      </c>
      <c r="H353" s="34" t="str" cm="1">
        <f t="array" ref="H353">IF($A353="","",GetMatchingValue($XFD$8,"Original","Control Number",H$2,$A353))</f>
        <v/>
      </c>
      <c r="I353" s="13"/>
      <c r="J353" s="13" t="str" cm="1">
        <f t="array" ref="J353">IF($A353="","",CheckControlNumberExists($XFD$9, "Original", $A353))</f>
        <v/>
      </c>
      <c r="K353" s="34" t="str" cm="1">
        <f t="array" ref="K353">IF($A353="","",IF($J353="No","",GetMatchingValue($XFD$9,"Original","Control Number",K$2,$A353)))</f>
        <v/>
      </c>
      <c r="L353" s="34" t="str" cm="1">
        <f t="array" ref="L353">IF($A353="","",IF($J353="No","",GetMatchingValue($XFD$9,"Original","Control Number",L$2,$A353)))</f>
        <v/>
      </c>
      <c r="M353" s="13" t="str">
        <f t="shared" ca="1" si="7"/>
        <v/>
      </c>
      <c r="N353" s="16"/>
      <c r="O353" s="34" t="str" cm="1">
        <f t="array" ref="O353">IF($A353="","",IF($J353="No","",GetMatchingValue($XFD$9,"Original","Control Number",O$2,$A353)))</f>
        <v/>
      </c>
      <c r="P353" s="34" t="str" cm="1">
        <f t="array" ref="P353">IF($A353="","",IF($J353="No","",GetMatchingValue($XFD$9,"Original","Control Number",P$2,$A353)))</f>
        <v/>
      </c>
      <c r="Q353" s="34" t="str" cm="1">
        <f t="array" ref="Q353">IF($A353="","",IF($J353="No","",GetMatchingValue($XFD$9,"Original","Control Number",Q$2,$A353)))</f>
        <v/>
      </c>
      <c r="R353" s="34" t="str" cm="1">
        <f t="array" ref="R353">IF($A353="","",IF($J353="No","",GetMatchingValue($XFD$9,"Original","Control Number",R$2,$A353)))</f>
        <v/>
      </c>
      <c r="S353" s="34" t="str" cm="1">
        <f t="array" ref="S353">IF($A353="","",IF($J353="No","",GetMatchingValue($XFD$9,"Original","Control Number",S$2,$A353)))</f>
        <v/>
      </c>
      <c r="T353" s="34" t="str" cm="1">
        <f t="array" ref="T353">IF($A353="","",IF($J353="No","",GetMatchingValue($XFD$9,"Original","Control Number",T$2,$A353)))</f>
        <v/>
      </c>
      <c r="U353" s="34" t="str" cm="1">
        <f t="array" ref="U353">IF($A353="","",IF($J353="No","",GetMatchingValue($XFD$9,"Original","Control Number",U$2,$A353)))</f>
        <v/>
      </c>
      <c r="V353" s="14"/>
      <c r="W353" s="17"/>
      <c r="X353" s="17"/>
      <c r="Y353" s="17"/>
      <c r="Z353" s="13"/>
      <c r="AA353" s="13"/>
      <c r="AB353" s="13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3"/>
    </row>
    <row r="354" spans="1:45" ht="40.5" customHeight="1" x14ac:dyDescent="0.2">
      <c r="A354" s="19"/>
      <c r="B354" s="19"/>
      <c r="C354" s="15"/>
      <c r="D354" s="15"/>
      <c r="E354" s="13"/>
      <c r="F354" s="34" t="str" cm="1">
        <f t="array" ref="F354">IF($A354="","",GetMatchingValue($XFD$8,"Original","Control Number",F$2,$A354))</f>
        <v/>
      </c>
      <c r="G354" s="34" t="str" cm="1">
        <f t="array" ref="G354">IF($A354="","",GetMatchingValue($XFD$8,"Original","Control Number",G$2,$A354))</f>
        <v/>
      </c>
      <c r="H354" s="34" t="str" cm="1">
        <f t="array" ref="H354">IF($A354="","",GetMatchingValue($XFD$8,"Original","Control Number",H$2,$A354))</f>
        <v/>
      </c>
      <c r="I354" s="13"/>
      <c r="J354" s="13" t="str" cm="1">
        <f t="array" ref="J354">IF($A354="","",CheckControlNumberExists($XFD$9, "Original", $A354))</f>
        <v/>
      </c>
      <c r="K354" s="34" t="str" cm="1">
        <f t="array" ref="K354">IF($A354="","",IF($J354="No","",GetMatchingValue($XFD$9,"Original","Control Number",K$2,$A354)))</f>
        <v/>
      </c>
      <c r="L354" s="34" t="str" cm="1">
        <f t="array" ref="L354">IF($A354="","",IF($J354="No","",GetMatchingValue($XFD$9,"Original","Control Number",L$2,$A354)))</f>
        <v/>
      </c>
      <c r="M354" s="13" t="str">
        <f t="shared" ca="1" si="7"/>
        <v/>
      </c>
      <c r="N354" s="16"/>
      <c r="O354" s="34" t="str" cm="1">
        <f t="array" ref="O354">IF($A354="","",IF($J354="No","",GetMatchingValue($XFD$9,"Original","Control Number",O$2,$A354)))</f>
        <v/>
      </c>
      <c r="P354" s="34" t="str" cm="1">
        <f t="array" ref="P354">IF($A354="","",IF($J354="No","",GetMatchingValue($XFD$9,"Original","Control Number",P$2,$A354)))</f>
        <v/>
      </c>
      <c r="Q354" s="34" t="str" cm="1">
        <f t="array" ref="Q354">IF($A354="","",IF($J354="No","",GetMatchingValue($XFD$9,"Original","Control Number",Q$2,$A354)))</f>
        <v/>
      </c>
      <c r="R354" s="34" t="str" cm="1">
        <f t="array" ref="R354">IF($A354="","",IF($J354="No","",GetMatchingValue($XFD$9,"Original","Control Number",R$2,$A354)))</f>
        <v/>
      </c>
      <c r="S354" s="34" t="str" cm="1">
        <f t="array" ref="S354">IF($A354="","",IF($J354="No","",GetMatchingValue($XFD$9,"Original","Control Number",S$2,$A354)))</f>
        <v/>
      </c>
      <c r="T354" s="34" t="str" cm="1">
        <f t="array" ref="T354">IF($A354="","",IF($J354="No","",GetMatchingValue($XFD$9,"Original","Control Number",T$2,$A354)))</f>
        <v/>
      </c>
      <c r="U354" s="34" t="str" cm="1">
        <f t="array" ref="U354">IF($A354="","",IF($J354="No","",GetMatchingValue($XFD$9,"Original","Control Number",U$2,$A354)))</f>
        <v/>
      </c>
      <c r="V354" s="14"/>
      <c r="W354" s="17"/>
      <c r="X354" s="17"/>
      <c r="Y354" s="17"/>
      <c r="Z354" s="13"/>
      <c r="AA354" s="13"/>
      <c r="AB354" s="13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3"/>
    </row>
    <row r="355" spans="1:45" ht="40.5" customHeight="1" x14ac:dyDescent="0.2">
      <c r="A355" s="19"/>
      <c r="B355" s="19"/>
      <c r="C355" s="15"/>
      <c r="D355" s="15"/>
      <c r="E355" s="13"/>
      <c r="F355" s="34" t="str" cm="1">
        <f t="array" ref="F355">IF($A355="","",GetMatchingValue($XFD$8,"Original","Control Number",F$2,$A355))</f>
        <v/>
      </c>
      <c r="G355" s="34" t="str" cm="1">
        <f t="array" ref="G355">IF($A355="","",GetMatchingValue($XFD$8,"Original","Control Number",G$2,$A355))</f>
        <v/>
      </c>
      <c r="H355" s="34" t="str" cm="1">
        <f t="array" ref="H355">IF($A355="","",GetMatchingValue($XFD$8,"Original","Control Number",H$2,$A355))</f>
        <v/>
      </c>
      <c r="I355" s="13"/>
      <c r="J355" s="13" t="str" cm="1">
        <f t="array" ref="J355">IF($A355="","",CheckControlNumberExists($XFD$9, "Original", $A355))</f>
        <v/>
      </c>
      <c r="K355" s="34" t="str" cm="1">
        <f t="array" ref="K355">IF($A355="","",IF($J355="No","",GetMatchingValue($XFD$9,"Original","Control Number",K$2,$A355)))</f>
        <v/>
      </c>
      <c r="L355" s="34" t="str" cm="1">
        <f t="array" ref="L355">IF($A355="","",IF($J355="No","",GetMatchingValue($XFD$9,"Original","Control Number",L$2,$A355)))</f>
        <v/>
      </c>
      <c r="M355" s="13" t="str">
        <f t="shared" ca="1" si="7"/>
        <v/>
      </c>
      <c r="N355" s="16"/>
      <c r="O355" s="34" t="str" cm="1">
        <f t="array" ref="O355">IF($A355="","",IF($J355="No","",GetMatchingValue($XFD$9,"Original","Control Number",O$2,$A355)))</f>
        <v/>
      </c>
      <c r="P355" s="34" t="str" cm="1">
        <f t="array" ref="P355">IF($A355="","",IF($J355="No","",GetMatchingValue($XFD$9,"Original","Control Number",P$2,$A355)))</f>
        <v/>
      </c>
      <c r="Q355" s="34" t="str" cm="1">
        <f t="array" ref="Q355">IF($A355="","",IF($J355="No","",GetMatchingValue($XFD$9,"Original","Control Number",Q$2,$A355)))</f>
        <v/>
      </c>
      <c r="R355" s="34" t="str" cm="1">
        <f t="array" ref="R355">IF($A355="","",IF($J355="No","",GetMatchingValue($XFD$9,"Original","Control Number",R$2,$A355)))</f>
        <v/>
      </c>
      <c r="S355" s="34" t="str" cm="1">
        <f t="array" ref="S355">IF($A355="","",IF($J355="No","",GetMatchingValue($XFD$9,"Original","Control Number",S$2,$A355)))</f>
        <v/>
      </c>
      <c r="T355" s="34" t="str" cm="1">
        <f t="array" ref="T355">IF($A355="","",IF($J355="No","",GetMatchingValue($XFD$9,"Original","Control Number",T$2,$A355)))</f>
        <v/>
      </c>
      <c r="U355" s="34" t="str" cm="1">
        <f t="array" ref="U355">IF($A355="","",IF($J355="No","",GetMatchingValue($XFD$9,"Original","Control Number",U$2,$A355)))</f>
        <v/>
      </c>
      <c r="V355" s="14"/>
      <c r="W355" s="17"/>
      <c r="X355" s="17"/>
      <c r="Y355" s="17"/>
      <c r="Z355" s="13"/>
      <c r="AA355" s="13"/>
      <c r="AB355" s="13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3"/>
    </row>
    <row r="356" spans="1:45" ht="40.5" customHeight="1" x14ac:dyDescent="0.2">
      <c r="A356" s="19"/>
      <c r="B356" s="19"/>
      <c r="C356" s="15"/>
      <c r="D356" s="15"/>
      <c r="E356" s="13"/>
      <c r="F356" s="34" t="str" cm="1">
        <f t="array" ref="F356">IF($A356="","",GetMatchingValue($XFD$8,"Original","Control Number",F$2,$A356))</f>
        <v/>
      </c>
      <c r="G356" s="34" t="str" cm="1">
        <f t="array" ref="G356">IF($A356="","",GetMatchingValue($XFD$8,"Original","Control Number",G$2,$A356))</f>
        <v/>
      </c>
      <c r="H356" s="34" t="str" cm="1">
        <f t="array" ref="H356">IF($A356="","",GetMatchingValue($XFD$8,"Original","Control Number",H$2,$A356))</f>
        <v/>
      </c>
      <c r="I356" s="13"/>
      <c r="J356" s="13" t="str" cm="1">
        <f t="array" ref="J356">IF($A356="","",CheckControlNumberExists($XFD$9, "Original", $A356))</f>
        <v/>
      </c>
      <c r="K356" s="34" t="str" cm="1">
        <f t="array" ref="K356">IF($A356="","",IF($J356="No","",GetMatchingValue($XFD$9,"Original","Control Number",K$2,$A356)))</f>
        <v/>
      </c>
      <c r="L356" s="34" t="str" cm="1">
        <f t="array" ref="L356">IF($A356="","",IF($J356="No","",GetMatchingValue($XFD$9,"Original","Control Number",L$2,$A356)))</f>
        <v/>
      </c>
      <c r="M356" s="13" t="str">
        <f t="shared" ca="1" si="7"/>
        <v/>
      </c>
      <c r="N356" s="16"/>
      <c r="O356" s="34" t="str" cm="1">
        <f t="array" ref="O356">IF($A356="","",IF($J356="No","",GetMatchingValue($XFD$9,"Original","Control Number",O$2,$A356)))</f>
        <v/>
      </c>
      <c r="P356" s="34" t="str" cm="1">
        <f t="array" ref="P356">IF($A356="","",IF($J356="No","",GetMatchingValue($XFD$9,"Original","Control Number",P$2,$A356)))</f>
        <v/>
      </c>
      <c r="Q356" s="34" t="str" cm="1">
        <f t="array" ref="Q356">IF($A356="","",IF($J356="No","",GetMatchingValue($XFD$9,"Original","Control Number",Q$2,$A356)))</f>
        <v/>
      </c>
      <c r="R356" s="34" t="str" cm="1">
        <f t="array" ref="R356">IF($A356="","",IF($J356="No","",GetMatchingValue($XFD$9,"Original","Control Number",R$2,$A356)))</f>
        <v/>
      </c>
      <c r="S356" s="34" t="str" cm="1">
        <f t="array" ref="S356">IF($A356="","",IF($J356="No","",GetMatchingValue($XFD$9,"Original","Control Number",S$2,$A356)))</f>
        <v/>
      </c>
      <c r="T356" s="34" t="str" cm="1">
        <f t="array" ref="T356">IF($A356="","",IF($J356="No","",GetMatchingValue($XFD$9,"Original","Control Number",T$2,$A356)))</f>
        <v/>
      </c>
      <c r="U356" s="34" t="str" cm="1">
        <f t="array" ref="U356">IF($A356="","",IF($J356="No","",GetMatchingValue($XFD$9,"Original","Control Number",U$2,$A356)))</f>
        <v/>
      </c>
      <c r="V356" s="14"/>
      <c r="W356" s="17"/>
      <c r="X356" s="17"/>
      <c r="Y356" s="17"/>
      <c r="Z356" s="13"/>
      <c r="AA356" s="13"/>
      <c r="AB356" s="13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3"/>
    </row>
    <row r="357" spans="1:45" ht="40.5" customHeight="1" x14ac:dyDescent="0.2">
      <c r="A357" s="19"/>
      <c r="B357" s="19"/>
      <c r="C357" s="15"/>
      <c r="D357" s="15"/>
      <c r="E357" s="13"/>
      <c r="F357" s="34" t="str" cm="1">
        <f t="array" ref="F357">IF($A357="","",GetMatchingValue($XFD$8,"Original","Control Number",F$2,$A357))</f>
        <v/>
      </c>
      <c r="G357" s="34" t="str" cm="1">
        <f t="array" ref="G357">IF($A357="","",GetMatchingValue($XFD$8,"Original","Control Number",G$2,$A357))</f>
        <v/>
      </c>
      <c r="H357" s="34" t="str" cm="1">
        <f t="array" ref="H357">IF($A357="","",GetMatchingValue($XFD$8,"Original","Control Number",H$2,$A357))</f>
        <v/>
      </c>
      <c r="I357" s="13"/>
      <c r="J357" s="13" t="str" cm="1">
        <f t="array" ref="J357">IF($A357="","",CheckControlNumberExists($XFD$9, "Original", $A357))</f>
        <v/>
      </c>
      <c r="K357" s="34" t="str" cm="1">
        <f t="array" ref="K357">IF($A357="","",IF($J357="No","",GetMatchingValue($XFD$9,"Original","Control Number",K$2,$A357)))</f>
        <v/>
      </c>
      <c r="L357" s="34" t="str" cm="1">
        <f t="array" ref="L357">IF($A357="","",IF($J357="No","",GetMatchingValue($XFD$9,"Original","Control Number",L$2,$A357)))</f>
        <v/>
      </c>
      <c r="M357" s="13" t="str">
        <f t="shared" ca="1" si="7"/>
        <v/>
      </c>
      <c r="N357" s="16"/>
      <c r="O357" s="34" t="str" cm="1">
        <f t="array" ref="O357">IF($A357="","",IF($J357="No","",GetMatchingValue($XFD$9,"Original","Control Number",O$2,$A357)))</f>
        <v/>
      </c>
      <c r="P357" s="34" t="str" cm="1">
        <f t="array" ref="P357">IF($A357="","",IF($J357="No","",GetMatchingValue($XFD$9,"Original","Control Number",P$2,$A357)))</f>
        <v/>
      </c>
      <c r="Q357" s="34" t="str" cm="1">
        <f t="array" ref="Q357">IF($A357="","",IF($J357="No","",GetMatchingValue($XFD$9,"Original","Control Number",Q$2,$A357)))</f>
        <v/>
      </c>
      <c r="R357" s="34" t="str" cm="1">
        <f t="array" ref="R357">IF($A357="","",IF($J357="No","",GetMatchingValue($XFD$9,"Original","Control Number",R$2,$A357)))</f>
        <v/>
      </c>
      <c r="S357" s="34" t="str" cm="1">
        <f t="array" ref="S357">IF($A357="","",IF($J357="No","",GetMatchingValue($XFD$9,"Original","Control Number",S$2,$A357)))</f>
        <v/>
      </c>
      <c r="T357" s="34" t="str" cm="1">
        <f t="array" ref="T357">IF($A357="","",IF($J357="No","",GetMatchingValue($XFD$9,"Original","Control Number",T$2,$A357)))</f>
        <v/>
      </c>
      <c r="U357" s="34" t="str" cm="1">
        <f t="array" ref="U357">IF($A357="","",IF($J357="No","",GetMatchingValue($XFD$9,"Original","Control Number",U$2,$A357)))</f>
        <v/>
      </c>
      <c r="V357" s="14"/>
      <c r="W357" s="17"/>
      <c r="X357" s="17"/>
      <c r="Y357" s="17"/>
      <c r="Z357" s="13"/>
      <c r="AA357" s="13"/>
      <c r="AB357" s="13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3"/>
    </row>
    <row r="358" spans="1:45" ht="40.5" customHeight="1" x14ac:dyDescent="0.2">
      <c r="A358" s="19"/>
      <c r="B358" s="19"/>
      <c r="C358" s="15"/>
      <c r="D358" s="15"/>
      <c r="E358" s="13"/>
      <c r="F358" s="34" t="str" cm="1">
        <f t="array" ref="F358">IF($A358="","",GetMatchingValue($XFD$8,"Original","Control Number",F$2,$A358))</f>
        <v/>
      </c>
      <c r="G358" s="34" t="str" cm="1">
        <f t="array" ref="G358">IF($A358="","",GetMatchingValue($XFD$8,"Original","Control Number",G$2,$A358))</f>
        <v/>
      </c>
      <c r="H358" s="34" t="str" cm="1">
        <f t="array" ref="H358">IF($A358="","",GetMatchingValue($XFD$8,"Original","Control Number",H$2,$A358))</f>
        <v/>
      </c>
      <c r="I358" s="13"/>
      <c r="J358" s="13" t="str" cm="1">
        <f t="array" ref="J358">IF($A358="","",CheckControlNumberExists($XFD$9, "Original", $A358))</f>
        <v/>
      </c>
      <c r="K358" s="34" t="str" cm="1">
        <f t="array" ref="K358">IF($A358="","",IF($J358="No","",GetMatchingValue($XFD$9,"Original","Control Number",K$2,$A358)))</f>
        <v/>
      </c>
      <c r="L358" s="34" t="str" cm="1">
        <f t="array" ref="L358">IF($A358="","",IF($J358="No","",GetMatchingValue($XFD$9,"Original","Control Number",L$2,$A358)))</f>
        <v/>
      </c>
      <c r="M358" s="13" t="str">
        <f t="shared" ca="1" si="7"/>
        <v/>
      </c>
      <c r="N358" s="16"/>
      <c r="O358" s="34" t="str" cm="1">
        <f t="array" ref="O358">IF($A358="","",IF($J358="No","",GetMatchingValue($XFD$9,"Original","Control Number",O$2,$A358)))</f>
        <v/>
      </c>
      <c r="P358" s="34" t="str" cm="1">
        <f t="array" ref="P358">IF($A358="","",IF($J358="No","",GetMatchingValue($XFD$9,"Original","Control Number",P$2,$A358)))</f>
        <v/>
      </c>
      <c r="Q358" s="34" t="str" cm="1">
        <f t="array" ref="Q358">IF($A358="","",IF($J358="No","",GetMatchingValue($XFD$9,"Original","Control Number",Q$2,$A358)))</f>
        <v/>
      </c>
      <c r="R358" s="34" t="str" cm="1">
        <f t="array" ref="R358">IF($A358="","",IF($J358="No","",GetMatchingValue($XFD$9,"Original","Control Number",R$2,$A358)))</f>
        <v/>
      </c>
      <c r="S358" s="34" t="str" cm="1">
        <f t="array" ref="S358">IF($A358="","",IF($J358="No","",GetMatchingValue($XFD$9,"Original","Control Number",S$2,$A358)))</f>
        <v/>
      </c>
      <c r="T358" s="34" t="str" cm="1">
        <f t="array" ref="T358">IF($A358="","",IF($J358="No","",GetMatchingValue($XFD$9,"Original","Control Number",T$2,$A358)))</f>
        <v/>
      </c>
      <c r="U358" s="34" t="str" cm="1">
        <f t="array" ref="U358">IF($A358="","",IF($J358="No","",GetMatchingValue($XFD$9,"Original","Control Number",U$2,$A358)))</f>
        <v/>
      </c>
      <c r="V358" s="14"/>
      <c r="W358" s="17"/>
      <c r="X358" s="17"/>
      <c r="Y358" s="17"/>
      <c r="Z358" s="13"/>
      <c r="AA358" s="13"/>
      <c r="AB358" s="13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3"/>
    </row>
    <row r="359" spans="1:45" ht="40.5" customHeight="1" x14ac:dyDescent="0.2">
      <c r="A359" s="19"/>
      <c r="B359" s="19"/>
      <c r="C359" s="15"/>
      <c r="D359" s="15"/>
      <c r="E359" s="13"/>
      <c r="F359" s="34" t="str" cm="1">
        <f t="array" ref="F359">IF($A359="","",GetMatchingValue($XFD$8,"Original","Control Number",F$2,$A359))</f>
        <v/>
      </c>
      <c r="G359" s="34" t="str" cm="1">
        <f t="array" ref="G359">IF($A359="","",GetMatchingValue($XFD$8,"Original","Control Number",G$2,$A359))</f>
        <v/>
      </c>
      <c r="H359" s="34" t="str" cm="1">
        <f t="array" ref="H359">IF($A359="","",GetMatchingValue($XFD$8,"Original","Control Number",H$2,$A359))</f>
        <v/>
      </c>
      <c r="I359" s="13"/>
      <c r="J359" s="13" t="str" cm="1">
        <f t="array" ref="J359">IF($A359="","",CheckControlNumberExists($XFD$9, "Original", $A359))</f>
        <v/>
      </c>
      <c r="K359" s="34" t="str" cm="1">
        <f t="array" ref="K359">IF($A359="","",IF($J359="No","",GetMatchingValue($XFD$9,"Original","Control Number",K$2,$A359)))</f>
        <v/>
      </c>
      <c r="L359" s="34" t="str" cm="1">
        <f t="array" ref="L359">IF($A359="","",IF($J359="No","",GetMatchingValue($XFD$9,"Original","Control Number",L$2,$A359)))</f>
        <v/>
      </c>
      <c r="M359" s="13" t="str">
        <f t="shared" ca="1" si="7"/>
        <v/>
      </c>
      <c r="N359" s="16"/>
      <c r="O359" s="34" t="str" cm="1">
        <f t="array" ref="O359">IF($A359="","",IF($J359="No","",GetMatchingValue($XFD$9,"Original","Control Number",O$2,$A359)))</f>
        <v/>
      </c>
      <c r="P359" s="34" t="str" cm="1">
        <f t="array" ref="P359">IF($A359="","",IF($J359="No","",GetMatchingValue($XFD$9,"Original","Control Number",P$2,$A359)))</f>
        <v/>
      </c>
      <c r="Q359" s="34" t="str" cm="1">
        <f t="array" ref="Q359">IF($A359="","",IF($J359="No","",GetMatchingValue($XFD$9,"Original","Control Number",Q$2,$A359)))</f>
        <v/>
      </c>
      <c r="R359" s="34" t="str" cm="1">
        <f t="array" ref="R359">IF($A359="","",IF($J359="No","",GetMatchingValue($XFD$9,"Original","Control Number",R$2,$A359)))</f>
        <v/>
      </c>
      <c r="S359" s="34" t="str" cm="1">
        <f t="array" ref="S359">IF($A359="","",IF($J359="No","",GetMatchingValue($XFD$9,"Original","Control Number",S$2,$A359)))</f>
        <v/>
      </c>
      <c r="T359" s="34" t="str" cm="1">
        <f t="array" ref="T359">IF($A359="","",IF($J359="No","",GetMatchingValue($XFD$9,"Original","Control Number",T$2,$A359)))</f>
        <v/>
      </c>
      <c r="U359" s="34" t="str" cm="1">
        <f t="array" ref="U359">IF($A359="","",IF($J359="No","",GetMatchingValue($XFD$9,"Original","Control Number",U$2,$A359)))</f>
        <v/>
      </c>
      <c r="V359" s="14"/>
      <c r="W359" s="17"/>
      <c r="X359" s="17"/>
      <c r="Y359" s="17"/>
      <c r="Z359" s="13"/>
      <c r="AA359" s="13"/>
      <c r="AB359" s="13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3"/>
    </row>
    <row r="360" spans="1:45" ht="40.5" customHeight="1" x14ac:dyDescent="0.2">
      <c r="A360" s="19"/>
      <c r="B360" s="19"/>
      <c r="C360" s="15"/>
      <c r="D360" s="15"/>
      <c r="E360" s="13"/>
      <c r="F360" s="34" t="str" cm="1">
        <f t="array" ref="F360">IF($A360="","",GetMatchingValue($XFD$8,"Original","Control Number",F$2,$A360))</f>
        <v/>
      </c>
      <c r="G360" s="34" t="str" cm="1">
        <f t="array" ref="G360">IF($A360="","",GetMatchingValue($XFD$8,"Original","Control Number",G$2,$A360))</f>
        <v/>
      </c>
      <c r="H360" s="34" t="str" cm="1">
        <f t="array" ref="H360">IF($A360="","",GetMatchingValue($XFD$8,"Original","Control Number",H$2,$A360))</f>
        <v/>
      </c>
      <c r="I360" s="13"/>
      <c r="J360" s="13" t="str" cm="1">
        <f t="array" ref="J360">IF($A360="","",CheckControlNumberExists($XFD$9, "Original", $A360))</f>
        <v/>
      </c>
      <c r="K360" s="34" t="str" cm="1">
        <f t="array" ref="K360">IF($A360="","",IF($J360="No","",GetMatchingValue($XFD$9,"Original","Control Number",K$2,$A360)))</f>
        <v/>
      </c>
      <c r="L360" s="34" t="str" cm="1">
        <f t="array" ref="L360">IF($A360="","",IF($J360="No","",GetMatchingValue($XFD$9,"Original","Control Number",L$2,$A360)))</f>
        <v/>
      </c>
      <c r="M360" s="13" t="str">
        <f t="shared" ca="1" si="7"/>
        <v/>
      </c>
      <c r="N360" s="16"/>
      <c r="O360" s="34" t="str" cm="1">
        <f t="array" ref="O360">IF($A360="","",IF($J360="No","",GetMatchingValue($XFD$9,"Original","Control Number",O$2,$A360)))</f>
        <v/>
      </c>
      <c r="P360" s="34" t="str" cm="1">
        <f t="array" ref="P360">IF($A360="","",IF($J360="No","",GetMatchingValue($XFD$9,"Original","Control Number",P$2,$A360)))</f>
        <v/>
      </c>
      <c r="Q360" s="34" t="str" cm="1">
        <f t="array" ref="Q360">IF($A360="","",IF($J360="No","",GetMatchingValue($XFD$9,"Original","Control Number",Q$2,$A360)))</f>
        <v/>
      </c>
      <c r="R360" s="34" t="str" cm="1">
        <f t="array" ref="R360">IF($A360="","",IF($J360="No","",GetMatchingValue($XFD$9,"Original","Control Number",R$2,$A360)))</f>
        <v/>
      </c>
      <c r="S360" s="34" t="str" cm="1">
        <f t="array" ref="S360">IF($A360="","",IF($J360="No","",GetMatchingValue($XFD$9,"Original","Control Number",S$2,$A360)))</f>
        <v/>
      </c>
      <c r="T360" s="34" t="str" cm="1">
        <f t="array" ref="T360">IF($A360="","",IF($J360="No","",GetMatchingValue($XFD$9,"Original","Control Number",T$2,$A360)))</f>
        <v/>
      </c>
      <c r="U360" s="34" t="str" cm="1">
        <f t="array" ref="U360">IF($A360="","",IF($J360="No","",GetMatchingValue($XFD$9,"Original","Control Number",U$2,$A360)))</f>
        <v/>
      </c>
      <c r="V360" s="14"/>
      <c r="W360" s="17"/>
      <c r="X360" s="17"/>
      <c r="Y360" s="17"/>
      <c r="Z360" s="13"/>
      <c r="AA360" s="13"/>
      <c r="AB360" s="13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3"/>
    </row>
    <row r="361" spans="1:45" ht="40.5" customHeight="1" x14ac:dyDescent="0.2">
      <c r="A361" s="19"/>
      <c r="B361" s="19"/>
      <c r="C361" s="15"/>
      <c r="D361" s="15"/>
      <c r="E361" s="13"/>
      <c r="F361" s="34" t="str" cm="1">
        <f t="array" ref="F361">IF($A361="","",GetMatchingValue($XFD$8,"Original","Control Number",F$2,$A361))</f>
        <v/>
      </c>
      <c r="G361" s="34" t="str" cm="1">
        <f t="array" ref="G361">IF($A361="","",GetMatchingValue($XFD$8,"Original","Control Number",G$2,$A361))</f>
        <v/>
      </c>
      <c r="H361" s="34" t="str" cm="1">
        <f t="array" ref="H361">IF($A361="","",GetMatchingValue($XFD$8,"Original","Control Number",H$2,$A361))</f>
        <v/>
      </c>
      <c r="I361" s="13"/>
      <c r="J361" s="13" t="str" cm="1">
        <f t="array" ref="J361">IF($A361="","",CheckControlNumberExists($XFD$9, "Original", $A361))</f>
        <v/>
      </c>
      <c r="K361" s="34" t="str" cm="1">
        <f t="array" ref="K361">IF($A361="","",IF($J361="No","",GetMatchingValue($XFD$9,"Original","Control Number",K$2,$A361)))</f>
        <v/>
      </c>
      <c r="L361" s="34" t="str" cm="1">
        <f t="array" ref="L361">IF($A361="","",IF($J361="No","",GetMatchingValue($XFD$9,"Original","Control Number",L$2,$A361)))</f>
        <v/>
      </c>
      <c r="M361" s="13" t="str">
        <f t="shared" ca="1" si="7"/>
        <v/>
      </c>
      <c r="N361" s="16"/>
      <c r="O361" s="34" t="str" cm="1">
        <f t="array" ref="O361">IF($A361="","",IF($J361="No","",GetMatchingValue($XFD$9,"Original","Control Number",O$2,$A361)))</f>
        <v/>
      </c>
      <c r="P361" s="34" t="str" cm="1">
        <f t="array" ref="P361">IF($A361="","",IF($J361="No","",GetMatchingValue($XFD$9,"Original","Control Number",P$2,$A361)))</f>
        <v/>
      </c>
      <c r="Q361" s="34" t="str" cm="1">
        <f t="array" ref="Q361">IF($A361="","",IF($J361="No","",GetMatchingValue($XFD$9,"Original","Control Number",Q$2,$A361)))</f>
        <v/>
      </c>
      <c r="R361" s="34" t="str" cm="1">
        <f t="array" ref="R361">IF($A361="","",IF($J361="No","",GetMatchingValue($XFD$9,"Original","Control Number",R$2,$A361)))</f>
        <v/>
      </c>
      <c r="S361" s="34" t="str" cm="1">
        <f t="array" ref="S361">IF($A361="","",IF($J361="No","",GetMatchingValue($XFD$9,"Original","Control Number",S$2,$A361)))</f>
        <v/>
      </c>
      <c r="T361" s="34" t="str" cm="1">
        <f t="array" ref="T361">IF($A361="","",IF($J361="No","",GetMatchingValue($XFD$9,"Original","Control Number",T$2,$A361)))</f>
        <v/>
      </c>
      <c r="U361" s="34" t="str" cm="1">
        <f t="array" ref="U361">IF($A361="","",IF($J361="No","",GetMatchingValue($XFD$9,"Original","Control Number",U$2,$A361)))</f>
        <v/>
      </c>
      <c r="V361" s="14"/>
      <c r="W361" s="17"/>
      <c r="X361" s="17"/>
      <c r="Y361" s="17"/>
      <c r="Z361" s="13"/>
      <c r="AA361" s="13"/>
      <c r="AB361" s="13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3"/>
    </row>
    <row r="362" spans="1:45" ht="40.5" customHeight="1" x14ac:dyDescent="0.2">
      <c r="A362" s="19"/>
      <c r="B362" s="19"/>
      <c r="C362" s="15"/>
      <c r="D362" s="15"/>
      <c r="E362" s="13"/>
      <c r="F362" s="34" t="str" cm="1">
        <f t="array" ref="F362">IF($A362="","",GetMatchingValue($XFD$8,"Original","Control Number",F$2,$A362))</f>
        <v/>
      </c>
      <c r="G362" s="34" t="str" cm="1">
        <f t="array" ref="G362">IF($A362="","",GetMatchingValue($XFD$8,"Original","Control Number",G$2,$A362))</f>
        <v/>
      </c>
      <c r="H362" s="34" t="str" cm="1">
        <f t="array" ref="H362">IF($A362="","",GetMatchingValue($XFD$8,"Original","Control Number",H$2,$A362))</f>
        <v/>
      </c>
      <c r="I362" s="13"/>
      <c r="J362" s="13" t="str" cm="1">
        <f t="array" ref="J362">IF($A362="","",CheckControlNumberExists($XFD$9, "Original", $A362))</f>
        <v/>
      </c>
      <c r="K362" s="34" t="str" cm="1">
        <f t="array" ref="K362">IF($A362="","",IF($J362="No","",GetMatchingValue($XFD$9,"Original","Control Number",K$2,$A362)))</f>
        <v/>
      </c>
      <c r="L362" s="34" t="str" cm="1">
        <f t="array" ref="L362">IF($A362="","",IF($J362="No","",GetMatchingValue($XFD$9,"Original","Control Number",L$2,$A362)))</f>
        <v/>
      </c>
      <c r="M362" s="13" t="str">
        <f t="shared" ca="1" si="7"/>
        <v/>
      </c>
      <c r="N362" s="16"/>
      <c r="O362" s="34" t="str" cm="1">
        <f t="array" ref="O362">IF($A362="","",IF($J362="No","",GetMatchingValue($XFD$9,"Original","Control Number",O$2,$A362)))</f>
        <v/>
      </c>
      <c r="P362" s="34" t="str" cm="1">
        <f t="array" ref="P362">IF($A362="","",IF($J362="No","",GetMatchingValue($XFD$9,"Original","Control Number",P$2,$A362)))</f>
        <v/>
      </c>
      <c r="Q362" s="34" t="str" cm="1">
        <f t="array" ref="Q362">IF($A362="","",IF($J362="No","",GetMatchingValue($XFD$9,"Original","Control Number",Q$2,$A362)))</f>
        <v/>
      </c>
      <c r="R362" s="34" t="str" cm="1">
        <f t="array" ref="R362">IF($A362="","",IF($J362="No","",GetMatchingValue($XFD$9,"Original","Control Number",R$2,$A362)))</f>
        <v/>
      </c>
      <c r="S362" s="34" t="str" cm="1">
        <f t="array" ref="S362">IF($A362="","",IF($J362="No","",GetMatchingValue($XFD$9,"Original","Control Number",S$2,$A362)))</f>
        <v/>
      </c>
      <c r="T362" s="34" t="str" cm="1">
        <f t="array" ref="T362">IF($A362="","",IF($J362="No","",GetMatchingValue($XFD$9,"Original","Control Number",T$2,$A362)))</f>
        <v/>
      </c>
      <c r="U362" s="34" t="str" cm="1">
        <f t="array" ref="U362">IF($A362="","",IF($J362="No","",GetMatchingValue($XFD$9,"Original","Control Number",U$2,$A362)))</f>
        <v/>
      </c>
      <c r="V362" s="14"/>
      <c r="W362" s="17"/>
      <c r="X362" s="17"/>
      <c r="Y362" s="17"/>
      <c r="Z362" s="13"/>
      <c r="AA362" s="13"/>
      <c r="AB362" s="13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3"/>
    </row>
    <row r="363" spans="1:45" ht="40.5" customHeight="1" x14ac:dyDescent="0.2">
      <c r="A363" s="19"/>
      <c r="B363" s="19"/>
      <c r="C363" s="15"/>
      <c r="D363" s="15"/>
      <c r="E363" s="13"/>
      <c r="F363" s="34" t="str" cm="1">
        <f t="array" ref="F363">IF($A363="","",GetMatchingValue($XFD$8,"Original","Control Number",F$2,$A363))</f>
        <v/>
      </c>
      <c r="G363" s="34" t="str" cm="1">
        <f t="array" ref="G363">IF($A363="","",GetMatchingValue($XFD$8,"Original","Control Number",G$2,$A363))</f>
        <v/>
      </c>
      <c r="H363" s="34" t="str" cm="1">
        <f t="array" ref="H363">IF($A363="","",GetMatchingValue($XFD$8,"Original","Control Number",H$2,$A363))</f>
        <v/>
      </c>
      <c r="I363" s="13"/>
      <c r="J363" s="13" t="str" cm="1">
        <f t="array" ref="J363">IF($A363="","",CheckControlNumberExists($XFD$9, "Original", $A363))</f>
        <v/>
      </c>
      <c r="K363" s="34" t="str" cm="1">
        <f t="array" ref="K363">IF($A363="","",IF($J363="No","",GetMatchingValue($XFD$9,"Original","Control Number",K$2,$A363)))</f>
        <v/>
      </c>
      <c r="L363" s="34" t="str" cm="1">
        <f t="array" ref="L363">IF($A363="","",IF($J363="No","",GetMatchingValue($XFD$9,"Original","Control Number",L$2,$A363)))</f>
        <v/>
      </c>
      <c r="M363" s="13" t="str">
        <f t="shared" ca="1" si="7"/>
        <v/>
      </c>
      <c r="N363" s="16"/>
      <c r="O363" s="34" t="str" cm="1">
        <f t="array" ref="O363">IF($A363="","",IF($J363="No","",GetMatchingValue($XFD$9,"Original","Control Number",O$2,$A363)))</f>
        <v/>
      </c>
      <c r="P363" s="34" t="str" cm="1">
        <f t="array" ref="P363">IF($A363="","",IF($J363="No","",GetMatchingValue($XFD$9,"Original","Control Number",P$2,$A363)))</f>
        <v/>
      </c>
      <c r="Q363" s="34" t="str" cm="1">
        <f t="array" ref="Q363">IF($A363="","",IF($J363="No","",GetMatchingValue($XFD$9,"Original","Control Number",Q$2,$A363)))</f>
        <v/>
      </c>
      <c r="R363" s="34" t="str" cm="1">
        <f t="array" ref="R363">IF($A363="","",IF($J363="No","",GetMatchingValue($XFD$9,"Original","Control Number",R$2,$A363)))</f>
        <v/>
      </c>
      <c r="S363" s="34" t="str" cm="1">
        <f t="array" ref="S363">IF($A363="","",IF($J363="No","",GetMatchingValue($XFD$9,"Original","Control Number",S$2,$A363)))</f>
        <v/>
      </c>
      <c r="T363" s="34" t="str" cm="1">
        <f t="array" ref="T363">IF($A363="","",IF($J363="No","",GetMatchingValue($XFD$9,"Original","Control Number",T$2,$A363)))</f>
        <v/>
      </c>
      <c r="U363" s="34" t="str" cm="1">
        <f t="array" ref="U363">IF($A363="","",IF($J363="No","",GetMatchingValue($XFD$9,"Original","Control Number",U$2,$A363)))</f>
        <v/>
      </c>
      <c r="V363" s="14"/>
      <c r="W363" s="17"/>
      <c r="X363" s="17"/>
      <c r="Y363" s="17"/>
      <c r="Z363" s="13"/>
      <c r="AA363" s="13"/>
      <c r="AB363" s="13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3"/>
    </row>
    <row r="364" spans="1:45" ht="40.5" customHeight="1" x14ac:dyDescent="0.2">
      <c r="A364" s="19"/>
      <c r="B364" s="19"/>
      <c r="C364" s="15"/>
      <c r="D364" s="15"/>
      <c r="E364" s="13"/>
      <c r="F364" s="34" t="str" cm="1">
        <f t="array" ref="F364">IF($A364="","",GetMatchingValue($XFD$8,"Original","Control Number",F$2,$A364))</f>
        <v/>
      </c>
      <c r="G364" s="34" t="str" cm="1">
        <f t="array" ref="G364">IF($A364="","",GetMatchingValue($XFD$8,"Original","Control Number",G$2,$A364))</f>
        <v/>
      </c>
      <c r="H364" s="34" t="str" cm="1">
        <f t="array" ref="H364">IF($A364="","",GetMatchingValue($XFD$8,"Original","Control Number",H$2,$A364))</f>
        <v/>
      </c>
      <c r="I364" s="13"/>
      <c r="J364" s="13" t="str" cm="1">
        <f t="array" ref="J364">IF($A364="","",CheckControlNumberExists($XFD$9, "Original", $A364))</f>
        <v/>
      </c>
      <c r="K364" s="34" t="str" cm="1">
        <f t="array" ref="K364">IF($A364="","",IF($J364="No","",GetMatchingValue($XFD$9,"Original","Control Number",K$2,$A364)))</f>
        <v/>
      </c>
      <c r="L364" s="34" t="str" cm="1">
        <f t="array" ref="L364">IF($A364="","",IF($J364="No","",GetMatchingValue($XFD$9,"Original","Control Number",L$2,$A364)))</f>
        <v/>
      </c>
      <c r="M364" s="13" t="str">
        <f t="shared" ca="1" si="7"/>
        <v/>
      </c>
      <c r="N364" s="16"/>
      <c r="O364" s="34" t="str" cm="1">
        <f t="array" ref="O364">IF($A364="","",IF($J364="No","",GetMatchingValue($XFD$9,"Original","Control Number",O$2,$A364)))</f>
        <v/>
      </c>
      <c r="P364" s="34" t="str" cm="1">
        <f t="array" ref="P364">IF($A364="","",IF($J364="No","",GetMatchingValue($XFD$9,"Original","Control Number",P$2,$A364)))</f>
        <v/>
      </c>
      <c r="Q364" s="34" t="str" cm="1">
        <f t="array" ref="Q364">IF($A364="","",IF($J364="No","",GetMatchingValue($XFD$9,"Original","Control Number",Q$2,$A364)))</f>
        <v/>
      </c>
      <c r="R364" s="34" t="str" cm="1">
        <f t="array" ref="R364">IF($A364="","",IF($J364="No","",GetMatchingValue($XFD$9,"Original","Control Number",R$2,$A364)))</f>
        <v/>
      </c>
      <c r="S364" s="34" t="str" cm="1">
        <f t="array" ref="S364">IF($A364="","",IF($J364="No","",GetMatchingValue($XFD$9,"Original","Control Number",S$2,$A364)))</f>
        <v/>
      </c>
      <c r="T364" s="34" t="str" cm="1">
        <f t="array" ref="T364">IF($A364="","",IF($J364="No","",GetMatchingValue($XFD$9,"Original","Control Number",T$2,$A364)))</f>
        <v/>
      </c>
      <c r="U364" s="34" t="str" cm="1">
        <f t="array" ref="U364">IF($A364="","",IF($J364="No","",GetMatchingValue($XFD$9,"Original","Control Number",U$2,$A364)))</f>
        <v/>
      </c>
      <c r="V364" s="14"/>
      <c r="W364" s="17"/>
      <c r="X364" s="17"/>
      <c r="Y364" s="17"/>
      <c r="Z364" s="13"/>
      <c r="AA364" s="13"/>
      <c r="AB364" s="13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3"/>
    </row>
    <row r="365" spans="1:45" ht="40.5" customHeight="1" x14ac:dyDescent="0.2">
      <c r="A365" s="19"/>
      <c r="B365" s="19"/>
      <c r="C365" s="15"/>
      <c r="D365" s="15"/>
      <c r="E365" s="13"/>
      <c r="F365" s="34" t="str" cm="1">
        <f t="array" ref="F365">IF($A365="","",GetMatchingValue($XFD$8,"Original","Control Number",F$2,$A365))</f>
        <v/>
      </c>
      <c r="G365" s="34" t="str" cm="1">
        <f t="array" ref="G365">IF($A365="","",GetMatchingValue($XFD$8,"Original","Control Number",G$2,$A365))</f>
        <v/>
      </c>
      <c r="H365" s="34" t="str" cm="1">
        <f t="array" ref="H365">IF($A365="","",GetMatchingValue($XFD$8,"Original","Control Number",H$2,$A365))</f>
        <v/>
      </c>
      <c r="I365" s="13"/>
      <c r="J365" s="13" t="str" cm="1">
        <f t="array" ref="J365">IF($A365="","",CheckControlNumberExists($XFD$9, "Original", $A365))</f>
        <v/>
      </c>
      <c r="K365" s="34" t="str" cm="1">
        <f t="array" ref="K365">IF($A365="","",IF($J365="No","",GetMatchingValue($XFD$9,"Original","Control Number",K$2,$A365)))</f>
        <v/>
      </c>
      <c r="L365" s="34" t="str" cm="1">
        <f t="array" ref="L365">IF($A365="","",IF($J365="No","",GetMatchingValue($XFD$9,"Original","Control Number",L$2,$A365)))</f>
        <v/>
      </c>
      <c r="M365" s="13" t="str">
        <f t="shared" ca="1" si="7"/>
        <v/>
      </c>
      <c r="N365" s="16"/>
      <c r="O365" s="34" t="str" cm="1">
        <f t="array" ref="O365">IF($A365="","",IF($J365="No","",GetMatchingValue($XFD$9,"Original","Control Number",O$2,$A365)))</f>
        <v/>
      </c>
      <c r="P365" s="34" t="str" cm="1">
        <f t="array" ref="P365">IF($A365="","",IF($J365="No","",GetMatchingValue($XFD$9,"Original","Control Number",P$2,$A365)))</f>
        <v/>
      </c>
      <c r="Q365" s="34" t="str" cm="1">
        <f t="array" ref="Q365">IF($A365="","",IF($J365="No","",GetMatchingValue($XFD$9,"Original","Control Number",Q$2,$A365)))</f>
        <v/>
      </c>
      <c r="R365" s="34" t="str" cm="1">
        <f t="array" ref="R365">IF($A365="","",IF($J365="No","",GetMatchingValue($XFD$9,"Original","Control Number",R$2,$A365)))</f>
        <v/>
      </c>
      <c r="S365" s="34" t="str" cm="1">
        <f t="array" ref="S365">IF($A365="","",IF($J365="No","",GetMatchingValue($XFD$9,"Original","Control Number",S$2,$A365)))</f>
        <v/>
      </c>
      <c r="T365" s="34" t="str" cm="1">
        <f t="array" ref="T365">IF($A365="","",IF($J365="No","",GetMatchingValue($XFD$9,"Original","Control Number",T$2,$A365)))</f>
        <v/>
      </c>
      <c r="U365" s="34" t="str" cm="1">
        <f t="array" ref="U365">IF($A365="","",IF($J365="No","",GetMatchingValue($XFD$9,"Original","Control Number",U$2,$A365)))</f>
        <v/>
      </c>
      <c r="V365" s="14"/>
      <c r="W365" s="17"/>
      <c r="X365" s="17"/>
      <c r="Y365" s="17"/>
      <c r="Z365" s="13"/>
      <c r="AA365" s="13"/>
      <c r="AB365" s="13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3"/>
    </row>
    <row r="366" spans="1:45" ht="40.5" customHeight="1" x14ac:dyDescent="0.2">
      <c r="A366" s="19"/>
      <c r="B366" s="19"/>
      <c r="C366" s="15"/>
      <c r="D366" s="15"/>
      <c r="E366" s="13"/>
      <c r="F366" s="34" t="str" cm="1">
        <f t="array" ref="F366">IF($A366="","",GetMatchingValue($XFD$8,"Original","Control Number",F$2,$A366))</f>
        <v/>
      </c>
      <c r="G366" s="34" t="str" cm="1">
        <f t="array" ref="G366">IF($A366="","",GetMatchingValue($XFD$8,"Original","Control Number",G$2,$A366))</f>
        <v/>
      </c>
      <c r="H366" s="34" t="str" cm="1">
        <f t="array" ref="H366">IF($A366="","",GetMatchingValue($XFD$8,"Original","Control Number",H$2,$A366))</f>
        <v/>
      </c>
      <c r="I366" s="13"/>
      <c r="J366" s="13" t="str" cm="1">
        <f t="array" ref="J366">IF($A366="","",CheckControlNumberExists($XFD$9, "Original", $A366))</f>
        <v/>
      </c>
      <c r="K366" s="34" t="str" cm="1">
        <f t="array" ref="K366">IF($A366="","",IF($J366="No","",GetMatchingValue($XFD$9,"Original","Control Number",K$2,$A366)))</f>
        <v/>
      </c>
      <c r="L366" s="34" t="str" cm="1">
        <f t="array" ref="L366">IF($A366="","",IF($J366="No","",GetMatchingValue($XFD$9,"Original","Control Number",L$2,$A366)))</f>
        <v/>
      </c>
      <c r="M366" s="13" t="str">
        <f t="shared" ca="1" si="7"/>
        <v/>
      </c>
      <c r="N366" s="16"/>
      <c r="O366" s="34" t="str" cm="1">
        <f t="array" ref="O366">IF($A366="","",IF($J366="No","",GetMatchingValue($XFD$9,"Original","Control Number",O$2,$A366)))</f>
        <v/>
      </c>
      <c r="P366" s="34" t="str" cm="1">
        <f t="array" ref="P366">IF($A366="","",IF($J366="No","",GetMatchingValue($XFD$9,"Original","Control Number",P$2,$A366)))</f>
        <v/>
      </c>
      <c r="Q366" s="34" t="str" cm="1">
        <f t="array" ref="Q366">IF($A366="","",IF($J366="No","",GetMatchingValue($XFD$9,"Original","Control Number",Q$2,$A366)))</f>
        <v/>
      </c>
      <c r="R366" s="34" t="str" cm="1">
        <f t="array" ref="R366">IF($A366="","",IF($J366="No","",GetMatchingValue($XFD$9,"Original","Control Number",R$2,$A366)))</f>
        <v/>
      </c>
      <c r="S366" s="34" t="str" cm="1">
        <f t="array" ref="S366">IF($A366="","",IF($J366="No","",GetMatchingValue($XFD$9,"Original","Control Number",S$2,$A366)))</f>
        <v/>
      </c>
      <c r="T366" s="34" t="str" cm="1">
        <f t="array" ref="T366">IF($A366="","",IF($J366="No","",GetMatchingValue($XFD$9,"Original","Control Number",T$2,$A366)))</f>
        <v/>
      </c>
      <c r="U366" s="34" t="str" cm="1">
        <f t="array" ref="U366">IF($A366="","",IF($J366="No","",GetMatchingValue($XFD$9,"Original","Control Number",U$2,$A366)))</f>
        <v/>
      </c>
      <c r="V366" s="14"/>
      <c r="W366" s="17"/>
      <c r="X366" s="17"/>
      <c r="Y366" s="17"/>
      <c r="Z366" s="13"/>
      <c r="AA366" s="13"/>
      <c r="AB366" s="13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3"/>
    </row>
    <row r="367" spans="1:45" ht="40.5" customHeight="1" x14ac:dyDescent="0.2">
      <c r="A367" s="19"/>
      <c r="B367" s="19"/>
      <c r="C367" s="15"/>
      <c r="D367" s="15"/>
      <c r="E367" s="13"/>
      <c r="F367" s="34" t="str" cm="1">
        <f t="array" ref="F367">IF($A367="","",GetMatchingValue($XFD$8,"Original","Control Number",F$2,$A367))</f>
        <v/>
      </c>
      <c r="G367" s="34" t="str" cm="1">
        <f t="array" ref="G367">IF($A367="","",GetMatchingValue($XFD$8,"Original","Control Number",G$2,$A367))</f>
        <v/>
      </c>
      <c r="H367" s="34" t="str" cm="1">
        <f t="array" ref="H367">IF($A367="","",GetMatchingValue($XFD$8,"Original","Control Number",H$2,$A367))</f>
        <v/>
      </c>
      <c r="I367" s="13"/>
      <c r="J367" s="13" t="str" cm="1">
        <f t="array" ref="J367">IF($A367="","",CheckControlNumberExists($XFD$9, "Original", $A367))</f>
        <v/>
      </c>
      <c r="K367" s="34" t="str" cm="1">
        <f t="array" ref="K367">IF($A367="","",IF($J367="No","",GetMatchingValue($XFD$9,"Original","Control Number",K$2,$A367)))</f>
        <v/>
      </c>
      <c r="L367" s="34" t="str" cm="1">
        <f t="array" ref="L367">IF($A367="","",IF($J367="No","",GetMatchingValue($XFD$9,"Original","Control Number",L$2,$A367)))</f>
        <v/>
      </c>
      <c r="M367" s="13" t="str">
        <f t="shared" ca="1" si="7"/>
        <v/>
      </c>
      <c r="N367" s="16"/>
      <c r="O367" s="34" t="str" cm="1">
        <f t="array" ref="O367">IF($A367="","",IF($J367="No","",GetMatchingValue($XFD$9,"Original","Control Number",O$2,$A367)))</f>
        <v/>
      </c>
      <c r="P367" s="34" t="str" cm="1">
        <f t="array" ref="P367">IF($A367="","",IF($J367="No","",GetMatchingValue($XFD$9,"Original","Control Number",P$2,$A367)))</f>
        <v/>
      </c>
      <c r="Q367" s="34" t="str" cm="1">
        <f t="array" ref="Q367">IF($A367="","",IF($J367="No","",GetMatchingValue($XFD$9,"Original","Control Number",Q$2,$A367)))</f>
        <v/>
      </c>
      <c r="R367" s="34" t="str" cm="1">
        <f t="array" ref="R367">IF($A367="","",IF($J367="No","",GetMatchingValue($XFD$9,"Original","Control Number",R$2,$A367)))</f>
        <v/>
      </c>
      <c r="S367" s="34" t="str" cm="1">
        <f t="array" ref="S367">IF($A367="","",IF($J367="No","",GetMatchingValue($XFD$9,"Original","Control Number",S$2,$A367)))</f>
        <v/>
      </c>
      <c r="T367" s="34" t="str" cm="1">
        <f t="array" ref="T367">IF($A367="","",IF($J367="No","",GetMatchingValue($XFD$9,"Original","Control Number",T$2,$A367)))</f>
        <v/>
      </c>
      <c r="U367" s="34" t="str" cm="1">
        <f t="array" ref="U367">IF($A367="","",IF($J367="No","",GetMatchingValue($XFD$9,"Original","Control Number",U$2,$A367)))</f>
        <v/>
      </c>
      <c r="V367" s="14"/>
      <c r="W367" s="17"/>
      <c r="X367" s="17"/>
      <c r="Y367" s="17"/>
      <c r="Z367" s="13"/>
      <c r="AA367" s="13"/>
      <c r="AB367" s="13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3"/>
    </row>
    <row r="368" spans="1:45" ht="40.5" customHeight="1" x14ac:dyDescent="0.2">
      <c r="A368" s="19"/>
      <c r="B368" s="19"/>
      <c r="C368" s="15"/>
      <c r="D368" s="15"/>
      <c r="E368" s="13"/>
      <c r="F368" s="34" t="str" cm="1">
        <f t="array" ref="F368">IF($A368="","",GetMatchingValue($XFD$8,"Original","Control Number",F$2,$A368))</f>
        <v/>
      </c>
      <c r="G368" s="34" t="str" cm="1">
        <f t="array" ref="G368">IF($A368="","",GetMatchingValue($XFD$8,"Original","Control Number",G$2,$A368))</f>
        <v/>
      </c>
      <c r="H368" s="34" t="str" cm="1">
        <f t="array" ref="H368">IF($A368="","",GetMatchingValue($XFD$8,"Original","Control Number",H$2,$A368))</f>
        <v/>
      </c>
      <c r="I368" s="13"/>
      <c r="J368" s="13" t="str" cm="1">
        <f t="array" ref="J368">IF($A368="","",CheckControlNumberExists($XFD$9, "Original", $A368))</f>
        <v/>
      </c>
      <c r="K368" s="34" t="str" cm="1">
        <f t="array" ref="K368">IF($A368="","",IF($J368="No","",GetMatchingValue($XFD$9,"Original","Control Number",K$2,$A368)))</f>
        <v/>
      </c>
      <c r="L368" s="34" t="str" cm="1">
        <f t="array" ref="L368">IF($A368="","",IF($J368="No","",GetMatchingValue($XFD$9,"Original","Control Number",L$2,$A368)))</f>
        <v/>
      </c>
      <c r="M368" s="13" t="str">
        <f t="shared" ca="1" si="7"/>
        <v/>
      </c>
      <c r="N368" s="16"/>
      <c r="O368" s="34" t="str" cm="1">
        <f t="array" ref="O368">IF($A368="","",IF($J368="No","",GetMatchingValue($XFD$9,"Original","Control Number",O$2,$A368)))</f>
        <v/>
      </c>
      <c r="P368" s="34" t="str" cm="1">
        <f t="array" ref="P368">IF($A368="","",IF($J368="No","",GetMatchingValue($XFD$9,"Original","Control Number",P$2,$A368)))</f>
        <v/>
      </c>
      <c r="Q368" s="34" t="str" cm="1">
        <f t="array" ref="Q368">IF($A368="","",IF($J368="No","",GetMatchingValue($XFD$9,"Original","Control Number",Q$2,$A368)))</f>
        <v/>
      </c>
      <c r="R368" s="34" t="str" cm="1">
        <f t="array" ref="R368">IF($A368="","",IF($J368="No","",GetMatchingValue($XFD$9,"Original","Control Number",R$2,$A368)))</f>
        <v/>
      </c>
      <c r="S368" s="34" t="str" cm="1">
        <f t="array" ref="S368">IF($A368="","",IF($J368="No","",GetMatchingValue($XFD$9,"Original","Control Number",S$2,$A368)))</f>
        <v/>
      </c>
      <c r="T368" s="34" t="str" cm="1">
        <f t="array" ref="T368">IF($A368="","",IF($J368="No","",GetMatchingValue($XFD$9,"Original","Control Number",T$2,$A368)))</f>
        <v/>
      </c>
      <c r="U368" s="34" t="str" cm="1">
        <f t="array" ref="U368">IF($A368="","",IF($J368="No","",GetMatchingValue($XFD$9,"Original","Control Number",U$2,$A368)))</f>
        <v/>
      </c>
      <c r="V368" s="14"/>
      <c r="W368" s="17"/>
      <c r="X368" s="17"/>
      <c r="Y368" s="17"/>
      <c r="Z368" s="13"/>
      <c r="AA368" s="13"/>
      <c r="AB368" s="13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3"/>
    </row>
    <row r="369" spans="1:45" ht="40.5" customHeight="1" x14ac:dyDescent="0.2">
      <c r="A369" s="19"/>
      <c r="B369" s="19"/>
      <c r="C369" s="15"/>
      <c r="D369" s="15"/>
      <c r="E369" s="13"/>
      <c r="F369" s="34" t="str" cm="1">
        <f t="array" ref="F369">IF($A369="","",GetMatchingValue($XFD$8,"Original","Control Number",F$2,$A369))</f>
        <v/>
      </c>
      <c r="G369" s="34" t="str" cm="1">
        <f t="array" ref="G369">IF($A369="","",GetMatchingValue($XFD$8,"Original","Control Number",G$2,$A369))</f>
        <v/>
      </c>
      <c r="H369" s="34" t="str" cm="1">
        <f t="array" ref="H369">IF($A369="","",GetMatchingValue($XFD$8,"Original","Control Number",H$2,$A369))</f>
        <v/>
      </c>
      <c r="I369" s="13"/>
      <c r="J369" s="13" t="str" cm="1">
        <f t="array" ref="J369">IF($A369="","",CheckControlNumberExists($XFD$9, "Original", $A369))</f>
        <v/>
      </c>
      <c r="K369" s="34" t="str" cm="1">
        <f t="array" ref="K369">IF($A369="","",IF($J369="No","",GetMatchingValue($XFD$9,"Original","Control Number",K$2,$A369)))</f>
        <v/>
      </c>
      <c r="L369" s="34" t="str" cm="1">
        <f t="array" ref="L369">IF($A369="","",IF($J369="No","",GetMatchingValue($XFD$9,"Original","Control Number",L$2,$A369)))</f>
        <v/>
      </c>
      <c r="M369" s="13" t="str">
        <f t="shared" ca="1" si="7"/>
        <v/>
      </c>
      <c r="N369" s="16"/>
      <c r="O369" s="34" t="str" cm="1">
        <f t="array" ref="O369">IF($A369="","",IF($J369="No","",GetMatchingValue($XFD$9,"Original","Control Number",O$2,$A369)))</f>
        <v/>
      </c>
      <c r="P369" s="34" t="str" cm="1">
        <f t="array" ref="P369">IF($A369="","",IF($J369="No","",GetMatchingValue($XFD$9,"Original","Control Number",P$2,$A369)))</f>
        <v/>
      </c>
      <c r="Q369" s="34" t="str" cm="1">
        <f t="array" ref="Q369">IF($A369="","",IF($J369="No","",GetMatchingValue($XFD$9,"Original","Control Number",Q$2,$A369)))</f>
        <v/>
      </c>
      <c r="R369" s="34" t="str" cm="1">
        <f t="array" ref="R369">IF($A369="","",IF($J369="No","",GetMatchingValue($XFD$9,"Original","Control Number",R$2,$A369)))</f>
        <v/>
      </c>
      <c r="S369" s="34" t="str" cm="1">
        <f t="array" ref="S369">IF($A369="","",IF($J369="No","",GetMatchingValue($XFD$9,"Original","Control Number",S$2,$A369)))</f>
        <v/>
      </c>
      <c r="T369" s="34" t="str" cm="1">
        <f t="array" ref="T369">IF($A369="","",IF($J369="No","",GetMatchingValue($XFD$9,"Original","Control Number",T$2,$A369)))</f>
        <v/>
      </c>
      <c r="U369" s="34" t="str" cm="1">
        <f t="array" ref="U369">IF($A369="","",IF($J369="No","",GetMatchingValue($XFD$9,"Original","Control Number",U$2,$A369)))</f>
        <v/>
      </c>
      <c r="V369" s="14"/>
      <c r="W369" s="17"/>
      <c r="X369" s="17"/>
      <c r="Y369" s="17"/>
      <c r="Z369" s="13"/>
      <c r="AA369" s="13"/>
      <c r="AB369" s="13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3"/>
    </row>
    <row r="370" spans="1:45" ht="40.5" customHeight="1" x14ac:dyDescent="0.2">
      <c r="A370" s="19"/>
      <c r="B370" s="19"/>
      <c r="C370" s="15"/>
      <c r="D370" s="15"/>
      <c r="E370" s="13"/>
      <c r="F370" s="34" t="str" cm="1">
        <f t="array" ref="F370">IF($A370="","",GetMatchingValue($XFD$8,"Original","Control Number",F$2,$A370))</f>
        <v/>
      </c>
      <c r="G370" s="34" t="str" cm="1">
        <f t="array" ref="G370">IF($A370="","",GetMatchingValue($XFD$8,"Original","Control Number",G$2,$A370))</f>
        <v/>
      </c>
      <c r="H370" s="34" t="str" cm="1">
        <f t="array" ref="H370">IF($A370="","",GetMatchingValue($XFD$8,"Original","Control Number",H$2,$A370))</f>
        <v/>
      </c>
      <c r="I370" s="13"/>
      <c r="J370" s="13" t="str" cm="1">
        <f t="array" ref="J370">IF($A370="","",CheckControlNumberExists($XFD$9, "Original", $A370))</f>
        <v/>
      </c>
      <c r="K370" s="34" t="str" cm="1">
        <f t="array" ref="K370">IF($A370="","",IF($J370="No","",GetMatchingValue($XFD$9,"Original","Control Number",K$2,$A370)))</f>
        <v/>
      </c>
      <c r="L370" s="34" t="str" cm="1">
        <f t="array" ref="L370">IF($A370="","",IF($J370="No","",GetMatchingValue($XFD$9,"Original","Control Number",L$2,$A370)))</f>
        <v/>
      </c>
      <c r="M370" s="13" t="str">
        <f t="shared" ca="1" si="7"/>
        <v/>
      </c>
      <c r="N370" s="16"/>
      <c r="O370" s="34" t="str" cm="1">
        <f t="array" ref="O370">IF($A370="","",IF($J370="No","",GetMatchingValue($XFD$9,"Original","Control Number",O$2,$A370)))</f>
        <v/>
      </c>
      <c r="P370" s="34" t="str" cm="1">
        <f t="array" ref="P370">IF($A370="","",IF($J370="No","",GetMatchingValue($XFD$9,"Original","Control Number",P$2,$A370)))</f>
        <v/>
      </c>
      <c r="Q370" s="34" t="str" cm="1">
        <f t="array" ref="Q370">IF($A370="","",IF($J370="No","",GetMatchingValue($XFD$9,"Original","Control Number",Q$2,$A370)))</f>
        <v/>
      </c>
      <c r="R370" s="34" t="str" cm="1">
        <f t="array" ref="R370">IF($A370="","",IF($J370="No","",GetMatchingValue($XFD$9,"Original","Control Number",R$2,$A370)))</f>
        <v/>
      </c>
      <c r="S370" s="34" t="str" cm="1">
        <f t="array" ref="S370">IF($A370="","",IF($J370="No","",GetMatchingValue($XFD$9,"Original","Control Number",S$2,$A370)))</f>
        <v/>
      </c>
      <c r="T370" s="34" t="str" cm="1">
        <f t="array" ref="T370">IF($A370="","",IF($J370="No","",GetMatchingValue($XFD$9,"Original","Control Number",T$2,$A370)))</f>
        <v/>
      </c>
      <c r="U370" s="34" t="str" cm="1">
        <f t="array" ref="U370">IF($A370="","",IF($J370="No","",GetMatchingValue($XFD$9,"Original","Control Number",U$2,$A370)))</f>
        <v/>
      </c>
      <c r="V370" s="14"/>
      <c r="W370" s="17"/>
      <c r="X370" s="17"/>
      <c r="Y370" s="17"/>
      <c r="Z370" s="13"/>
      <c r="AA370" s="13"/>
      <c r="AB370" s="13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3"/>
    </row>
    <row r="371" spans="1:45" ht="40.5" customHeight="1" x14ac:dyDescent="0.2">
      <c r="A371" s="19"/>
      <c r="B371" s="19"/>
      <c r="C371" s="15"/>
      <c r="D371" s="15"/>
      <c r="E371" s="13"/>
      <c r="F371" s="34" t="str" cm="1">
        <f t="array" ref="F371">IF($A371="","",GetMatchingValue($XFD$8,"Original","Control Number",F$2,$A371))</f>
        <v/>
      </c>
      <c r="G371" s="34" t="str" cm="1">
        <f t="array" ref="G371">IF($A371="","",GetMatchingValue($XFD$8,"Original","Control Number",G$2,$A371))</f>
        <v/>
      </c>
      <c r="H371" s="34" t="str" cm="1">
        <f t="array" ref="H371">IF($A371="","",GetMatchingValue($XFD$8,"Original","Control Number",H$2,$A371))</f>
        <v/>
      </c>
      <c r="I371" s="13"/>
      <c r="J371" s="13" t="str" cm="1">
        <f t="array" ref="J371">IF($A371="","",CheckControlNumberExists($XFD$9, "Original", $A371))</f>
        <v/>
      </c>
      <c r="K371" s="34" t="str" cm="1">
        <f t="array" ref="K371">IF($A371="","",IF($J371="No","",GetMatchingValue($XFD$9,"Original","Control Number",K$2,$A371)))</f>
        <v/>
      </c>
      <c r="L371" s="34" t="str" cm="1">
        <f t="array" ref="L371">IF($A371="","",IF($J371="No","",GetMatchingValue($XFD$9,"Original","Control Number",L$2,$A371)))</f>
        <v/>
      </c>
      <c r="M371" s="13" t="str">
        <f t="shared" ca="1" si="7"/>
        <v/>
      </c>
      <c r="N371" s="16"/>
      <c r="O371" s="34" t="str" cm="1">
        <f t="array" ref="O371">IF($A371="","",IF($J371="No","",GetMatchingValue($XFD$9,"Original","Control Number",O$2,$A371)))</f>
        <v/>
      </c>
      <c r="P371" s="34" t="str" cm="1">
        <f t="array" ref="P371">IF($A371="","",IF($J371="No","",GetMatchingValue($XFD$9,"Original","Control Number",P$2,$A371)))</f>
        <v/>
      </c>
      <c r="Q371" s="34" t="str" cm="1">
        <f t="array" ref="Q371">IF($A371="","",IF($J371="No","",GetMatchingValue($XFD$9,"Original","Control Number",Q$2,$A371)))</f>
        <v/>
      </c>
      <c r="R371" s="34" t="str" cm="1">
        <f t="array" ref="R371">IF($A371="","",IF($J371="No","",GetMatchingValue($XFD$9,"Original","Control Number",R$2,$A371)))</f>
        <v/>
      </c>
      <c r="S371" s="34" t="str" cm="1">
        <f t="array" ref="S371">IF($A371="","",IF($J371="No","",GetMatchingValue($XFD$9,"Original","Control Number",S$2,$A371)))</f>
        <v/>
      </c>
      <c r="T371" s="34" t="str" cm="1">
        <f t="array" ref="T371">IF($A371="","",IF($J371="No","",GetMatchingValue($XFD$9,"Original","Control Number",T$2,$A371)))</f>
        <v/>
      </c>
      <c r="U371" s="34" t="str" cm="1">
        <f t="array" ref="U371">IF($A371="","",IF($J371="No","",GetMatchingValue($XFD$9,"Original","Control Number",U$2,$A371)))</f>
        <v/>
      </c>
      <c r="V371" s="14"/>
      <c r="W371" s="17"/>
      <c r="X371" s="17"/>
      <c r="Y371" s="17"/>
      <c r="Z371" s="13"/>
      <c r="AA371" s="13"/>
      <c r="AB371" s="13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3"/>
    </row>
    <row r="372" spans="1:45" ht="40.5" customHeight="1" x14ac:dyDescent="0.2">
      <c r="A372" s="19"/>
      <c r="B372" s="19"/>
      <c r="C372" s="15"/>
      <c r="D372" s="15"/>
      <c r="E372" s="13"/>
      <c r="F372" s="34" t="str" cm="1">
        <f t="array" ref="F372">IF($A372="","",GetMatchingValue($XFD$8,"Original","Control Number",F$2,$A372))</f>
        <v/>
      </c>
      <c r="G372" s="34" t="str" cm="1">
        <f t="array" ref="G372">IF($A372="","",GetMatchingValue($XFD$8,"Original","Control Number",G$2,$A372))</f>
        <v/>
      </c>
      <c r="H372" s="34" t="str" cm="1">
        <f t="array" ref="H372">IF($A372="","",GetMatchingValue($XFD$8,"Original","Control Number",H$2,$A372))</f>
        <v/>
      </c>
      <c r="I372" s="13"/>
      <c r="J372" s="13" t="str" cm="1">
        <f t="array" ref="J372">IF($A372="","",CheckControlNumberExists($XFD$9, "Original", $A372))</f>
        <v/>
      </c>
      <c r="K372" s="34" t="str" cm="1">
        <f t="array" ref="K372">IF($A372="","",IF($J372="No","",GetMatchingValue($XFD$9,"Original","Control Number",K$2,$A372)))</f>
        <v/>
      </c>
      <c r="L372" s="34" t="str" cm="1">
        <f t="array" ref="L372">IF($A372="","",IF($J372="No","",GetMatchingValue($XFD$9,"Original","Control Number",L$2,$A372)))</f>
        <v/>
      </c>
      <c r="M372" s="13" t="str">
        <f t="shared" ca="1" si="7"/>
        <v/>
      </c>
      <c r="N372" s="16"/>
      <c r="O372" s="34" t="str" cm="1">
        <f t="array" ref="O372">IF($A372="","",IF($J372="No","",GetMatchingValue($XFD$9,"Original","Control Number",O$2,$A372)))</f>
        <v/>
      </c>
      <c r="P372" s="34" t="str" cm="1">
        <f t="array" ref="P372">IF($A372="","",IF($J372="No","",GetMatchingValue($XFD$9,"Original","Control Number",P$2,$A372)))</f>
        <v/>
      </c>
      <c r="Q372" s="34" t="str" cm="1">
        <f t="array" ref="Q372">IF($A372="","",IF($J372="No","",GetMatchingValue($XFD$9,"Original","Control Number",Q$2,$A372)))</f>
        <v/>
      </c>
      <c r="R372" s="34" t="str" cm="1">
        <f t="array" ref="R372">IF($A372="","",IF($J372="No","",GetMatchingValue($XFD$9,"Original","Control Number",R$2,$A372)))</f>
        <v/>
      </c>
      <c r="S372" s="34" t="str" cm="1">
        <f t="array" ref="S372">IF($A372="","",IF($J372="No","",GetMatchingValue($XFD$9,"Original","Control Number",S$2,$A372)))</f>
        <v/>
      </c>
      <c r="T372" s="34" t="str" cm="1">
        <f t="array" ref="T372">IF($A372="","",IF($J372="No","",GetMatchingValue($XFD$9,"Original","Control Number",T$2,$A372)))</f>
        <v/>
      </c>
      <c r="U372" s="34" t="str" cm="1">
        <f t="array" ref="U372">IF($A372="","",IF($J372="No","",GetMatchingValue($XFD$9,"Original","Control Number",U$2,$A372)))</f>
        <v/>
      </c>
      <c r="V372" s="14"/>
      <c r="W372" s="17"/>
      <c r="X372" s="17"/>
      <c r="Y372" s="17"/>
      <c r="Z372" s="13"/>
      <c r="AA372" s="13"/>
      <c r="AB372" s="13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3"/>
    </row>
    <row r="373" spans="1:45" ht="40.5" customHeight="1" x14ac:dyDescent="0.2">
      <c r="A373" s="19"/>
      <c r="B373" s="19"/>
      <c r="C373" s="15"/>
      <c r="D373" s="15"/>
      <c r="E373" s="13"/>
      <c r="F373" s="34" t="str" cm="1">
        <f t="array" ref="F373">IF($A373="","",GetMatchingValue($XFD$8,"Original","Control Number",F$2,$A373))</f>
        <v/>
      </c>
      <c r="G373" s="34" t="str" cm="1">
        <f t="array" ref="G373">IF($A373="","",GetMatchingValue($XFD$8,"Original","Control Number",G$2,$A373))</f>
        <v/>
      </c>
      <c r="H373" s="34" t="str" cm="1">
        <f t="array" ref="H373">IF($A373="","",GetMatchingValue($XFD$8,"Original","Control Number",H$2,$A373))</f>
        <v/>
      </c>
      <c r="I373" s="13"/>
      <c r="J373" s="13" t="str" cm="1">
        <f t="array" ref="J373">IF($A373="","",CheckControlNumberExists($XFD$9, "Original", $A373))</f>
        <v/>
      </c>
      <c r="K373" s="34" t="str" cm="1">
        <f t="array" ref="K373">IF($A373="","",IF($J373="No","",GetMatchingValue($XFD$9,"Original","Control Number",K$2,$A373)))</f>
        <v/>
      </c>
      <c r="L373" s="34" t="str" cm="1">
        <f t="array" ref="L373">IF($A373="","",IF($J373="No","",GetMatchingValue($XFD$9,"Original","Control Number",L$2,$A373)))</f>
        <v/>
      </c>
      <c r="M373" s="13" t="str">
        <f t="shared" ca="1" si="7"/>
        <v/>
      </c>
      <c r="N373" s="16"/>
      <c r="O373" s="34" t="str" cm="1">
        <f t="array" ref="O373">IF($A373="","",IF($J373="No","",GetMatchingValue($XFD$9,"Original","Control Number",O$2,$A373)))</f>
        <v/>
      </c>
      <c r="P373" s="34" t="str" cm="1">
        <f t="array" ref="P373">IF($A373="","",IF($J373="No","",GetMatchingValue($XFD$9,"Original","Control Number",P$2,$A373)))</f>
        <v/>
      </c>
      <c r="Q373" s="34" t="str" cm="1">
        <f t="array" ref="Q373">IF($A373="","",IF($J373="No","",GetMatchingValue($XFD$9,"Original","Control Number",Q$2,$A373)))</f>
        <v/>
      </c>
      <c r="R373" s="34" t="str" cm="1">
        <f t="array" ref="R373">IF($A373="","",IF($J373="No","",GetMatchingValue($XFD$9,"Original","Control Number",R$2,$A373)))</f>
        <v/>
      </c>
      <c r="S373" s="34" t="str" cm="1">
        <f t="array" ref="S373">IF($A373="","",IF($J373="No","",GetMatchingValue($XFD$9,"Original","Control Number",S$2,$A373)))</f>
        <v/>
      </c>
      <c r="T373" s="34" t="str" cm="1">
        <f t="array" ref="T373">IF($A373="","",IF($J373="No","",GetMatchingValue($XFD$9,"Original","Control Number",T$2,$A373)))</f>
        <v/>
      </c>
      <c r="U373" s="34" t="str" cm="1">
        <f t="array" ref="U373">IF($A373="","",IF($J373="No","",GetMatchingValue($XFD$9,"Original","Control Number",U$2,$A373)))</f>
        <v/>
      </c>
      <c r="V373" s="14"/>
      <c r="W373" s="17"/>
      <c r="X373" s="17"/>
      <c r="Y373" s="17"/>
      <c r="Z373" s="13"/>
      <c r="AA373" s="13"/>
      <c r="AB373" s="13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3"/>
    </row>
    <row r="374" spans="1:45" ht="40.5" customHeight="1" x14ac:dyDescent="0.2">
      <c r="A374" s="19"/>
      <c r="B374" s="19"/>
      <c r="C374" s="15"/>
      <c r="D374" s="15"/>
      <c r="E374" s="13"/>
      <c r="F374" s="34" t="str" cm="1">
        <f t="array" ref="F374">IF($A374="","",GetMatchingValue($XFD$8,"Original","Control Number",F$2,$A374))</f>
        <v/>
      </c>
      <c r="G374" s="34" t="str" cm="1">
        <f t="array" ref="G374">IF($A374="","",GetMatchingValue($XFD$8,"Original","Control Number",G$2,$A374))</f>
        <v/>
      </c>
      <c r="H374" s="34" t="str" cm="1">
        <f t="array" ref="H374">IF($A374="","",GetMatchingValue($XFD$8,"Original","Control Number",H$2,$A374))</f>
        <v/>
      </c>
      <c r="I374" s="13"/>
      <c r="J374" s="13" t="str" cm="1">
        <f t="array" ref="J374">IF($A374="","",CheckControlNumberExists($XFD$9, "Original", $A374))</f>
        <v/>
      </c>
      <c r="K374" s="34" t="str" cm="1">
        <f t="array" ref="K374">IF($A374="","",IF($J374="No","",GetMatchingValue($XFD$9,"Original","Control Number",K$2,$A374)))</f>
        <v/>
      </c>
      <c r="L374" s="34" t="str" cm="1">
        <f t="array" ref="L374">IF($A374="","",IF($J374="No","",GetMatchingValue($XFD$9,"Original","Control Number",L$2,$A374)))</f>
        <v/>
      </c>
      <c r="M374" s="13" t="str">
        <f t="shared" ca="1" si="7"/>
        <v/>
      </c>
      <c r="N374" s="16"/>
      <c r="O374" s="34" t="str" cm="1">
        <f t="array" ref="O374">IF($A374="","",IF($J374="No","",GetMatchingValue($XFD$9,"Original","Control Number",O$2,$A374)))</f>
        <v/>
      </c>
      <c r="P374" s="34" t="str" cm="1">
        <f t="array" ref="P374">IF($A374="","",IF($J374="No","",GetMatchingValue($XFD$9,"Original","Control Number",P$2,$A374)))</f>
        <v/>
      </c>
      <c r="Q374" s="34" t="str" cm="1">
        <f t="array" ref="Q374">IF($A374="","",IF($J374="No","",GetMatchingValue($XFD$9,"Original","Control Number",Q$2,$A374)))</f>
        <v/>
      </c>
      <c r="R374" s="34" t="str" cm="1">
        <f t="array" ref="R374">IF($A374="","",IF($J374="No","",GetMatchingValue($XFD$9,"Original","Control Number",R$2,$A374)))</f>
        <v/>
      </c>
      <c r="S374" s="34" t="str" cm="1">
        <f t="array" ref="S374">IF($A374="","",IF($J374="No","",GetMatchingValue($XFD$9,"Original","Control Number",S$2,$A374)))</f>
        <v/>
      </c>
      <c r="T374" s="34" t="str" cm="1">
        <f t="array" ref="T374">IF($A374="","",IF($J374="No","",GetMatchingValue($XFD$9,"Original","Control Number",T$2,$A374)))</f>
        <v/>
      </c>
      <c r="U374" s="34" t="str" cm="1">
        <f t="array" ref="U374">IF($A374="","",IF($J374="No","",GetMatchingValue($XFD$9,"Original","Control Number",U$2,$A374)))</f>
        <v/>
      </c>
      <c r="V374" s="14"/>
      <c r="W374" s="17"/>
      <c r="X374" s="17"/>
      <c r="Y374" s="17"/>
      <c r="Z374" s="13"/>
      <c r="AA374" s="13"/>
      <c r="AB374" s="13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3"/>
    </row>
    <row r="375" spans="1:45" ht="40.5" customHeight="1" x14ac:dyDescent="0.2">
      <c r="A375" s="19"/>
      <c r="B375" s="19"/>
      <c r="C375" s="15"/>
      <c r="D375" s="15"/>
      <c r="E375" s="13"/>
      <c r="F375" s="34" t="str" cm="1">
        <f t="array" ref="F375">IF($A375="","",GetMatchingValue($XFD$8,"Original","Control Number",F$2,$A375))</f>
        <v/>
      </c>
      <c r="G375" s="34" t="str" cm="1">
        <f t="array" ref="G375">IF($A375="","",GetMatchingValue($XFD$8,"Original","Control Number",G$2,$A375))</f>
        <v/>
      </c>
      <c r="H375" s="34" t="str" cm="1">
        <f t="array" ref="H375">IF($A375="","",GetMatchingValue($XFD$8,"Original","Control Number",H$2,$A375))</f>
        <v/>
      </c>
      <c r="I375" s="13"/>
      <c r="J375" s="13" t="str" cm="1">
        <f t="array" ref="J375">IF($A375="","",CheckControlNumberExists($XFD$9, "Original", $A375))</f>
        <v/>
      </c>
      <c r="K375" s="34" t="str" cm="1">
        <f t="array" ref="K375">IF($A375="","",IF($J375="No","",GetMatchingValue($XFD$9,"Original","Control Number",K$2,$A375)))</f>
        <v/>
      </c>
      <c r="L375" s="34" t="str" cm="1">
        <f t="array" ref="L375">IF($A375="","",IF($J375="No","",GetMatchingValue($XFD$9,"Original","Control Number",L$2,$A375)))</f>
        <v/>
      </c>
      <c r="M375" s="13" t="str">
        <f t="shared" ca="1" si="7"/>
        <v/>
      </c>
      <c r="N375" s="16"/>
      <c r="O375" s="34" t="str" cm="1">
        <f t="array" ref="O375">IF($A375="","",IF($J375="No","",GetMatchingValue($XFD$9,"Original","Control Number",O$2,$A375)))</f>
        <v/>
      </c>
      <c r="P375" s="34" t="str" cm="1">
        <f t="array" ref="P375">IF($A375="","",IF($J375="No","",GetMatchingValue($XFD$9,"Original","Control Number",P$2,$A375)))</f>
        <v/>
      </c>
      <c r="Q375" s="34" t="str" cm="1">
        <f t="array" ref="Q375">IF($A375="","",IF($J375="No","",GetMatchingValue($XFD$9,"Original","Control Number",Q$2,$A375)))</f>
        <v/>
      </c>
      <c r="R375" s="34" t="str" cm="1">
        <f t="array" ref="R375">IF($A375="","",IF($J375="No","",GetMatchingValue($XFD$9,"Original","Control Number",R$2,$A375)))</f>
        <v/>
      </c>
      <c r="S375" s="34" t="str" cm="1">
        <f t="array" ref="S375">IF($A375="","",IF($J375="No","",GetMatchingValue($XFD$9,"Original","Control Number",S$2,$A375)))</f>
        <v/>
      </c>
      <c r="T375" s="34" t="str" cm="1">
        <f t="array" ref="T375">IF($A375="","",IF($J375="No","",GetMatchingValue($XFD$9,"Original","Control Number",T$2,$A375)))</f>
        <v/>
      </c>
      <c r="U375" s="34" t="str" cm="1">
        <f t="array" ref="U375">IF($A375="","",IF($J375="No","",GetMatchingValue($XFD$9,"Original","Control Number",U$2,$A375)))</f>
        <v/>
      </c>
      <c r="V375" s="14"/>
      <c r="W375" s="17"/>
      <c r="X375" s="17"/>
      <c r="Y375" s="17"/>
      <c r="Z375" s="13"/>
      <c r="AA375" s="13"/>
      <c r="AB375" s="13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3"/>
    </row>
    <row r="376" spans="1:45" ht="40.5" customHeight="1" x14ac:dyDescent="0.2">
      <c r="A376" s="19"/>
      <c r="B376" s="19"/>
      <c r="C376" s="15"/>
      <c r="D376" s="15"/>
      <c r="E376" s="13"/>
      <c r="F376" s="34" t="str" cm="1">
        <f t="array" ref="F376">IF($A376="","",GetMatchingValue($XFD$8,"Original","Control Number",F$2,$A376))</f>
        <v/>
      </c>
      <c r="G376" s="34" t="str" cm="1">
        <f t="array" ref="G376">IF($A376="","",GetMatchingValue($XFD$8,"Original","Control Number",G$2,$A376))</f>
        <v/>
      </c>
      <c r="H376" s="34" t="str" cm="1">
        <f t="array" ref="H376">IF($A376="","",GetMatchingValue($XFD$8,"Original","Control Number",H$2,$A376))</f>
        <v/>
      </c>
      <c r="I376" s="13"/>
      <c r="J376" s="13" t="str" cm="1">
        <f t="array" ref="J376">IF($A376="","",CheckControlNumberExists($XFD$9, "Original", $A376))</f>
        <v/>
      </c>
      <c r="K376" s="34" t="str" cm="1">
        <f t="array" ref="K376">IF($A376="","",IF($J376="No","",GetMatchingValue($XFD$9,"Original","Control Number",K$2,$A376)))</f>
        <v/>
      </c>
      <c r="L376" s="34" t="str" cm="1">
        <f t="array" ref="L376">IF($A376="","",IF($J376="No","",GetMatchingValue($XFD$9,"Original","Control Number",L$2,$A376)))</f>
        <v/>
      </c>
      <c r="M376" s="13" t="str">
        <f t="shared" ca="1" si="7"/>
        <v/>
      </c>
      <c r="N376" s="16"/>
      <c r="O376" s="34" t="str" cm="1">
        <f t="array" ref="O376">IF($A376="","",IF($J376="No","",GetMatchingValue($XFD$9,"Original","Control Number",O$2,$A376)))</f>
        <v/>
      </c>
      <c r="P376" s="34" t="str" cm="1">
        <f t="array" ref="P376">IF($A376="","",IF($J376="No","",GetMatchingValue($XFD$9,"Original","Control Number",P$2,$A376)))</f>
        <v/>
      </c>
      <c r="Q376" s="34" t="str" cm="1">
        <f t="array" ref="Q376">IF($A376="","",IF($J376="No","",GetMatchingValue($XFD$9,"Original","Control Number",Q$2,$A376)))</f>
        <v/>
      </c>
      <c r="R376" s="34" t="str" cm="1">
        <f t="array" ref="R376">IF($A376="","",IF($J376="No","",GetMatchingValue($XFD$9,"Original","Control Number",R$2,$A376)))</f>
        <v/>
      </c>
      <c r="S376" s="34" t="str" cm="1">
        <f t="array" ref="S376">IF($A376="","",IF($J376="No","",GetMatchingValue($XFD$9,"Original","Control Number",S$2,$A376)))</f>
        <v/>
      </c>
      <c r="T376" s="34" t="str" cm="1">
        <f t="array" ref="T376">IF($A376="","",IF($J376="No","",GetMatchingValue($XFD$9,"Original","Control Number",T$2,$A376)))</f>
        <v/>
      </c>
      <c r="U376" s="34" t="str" cm="1">
        <f t="array" ref="U376">IF($A376="","",IF($J376="No","",GetMatchingValue($XFD$9,"Original","Control Number",U$2,$A376)))</f>
        <v/>
      </c>
      <c r="V376" s="14"/>
      <c r="W376" s="17"/>
      <c r="X376" s="17"/>
      <c r="Y376" s="17"/>
      <c r="Z376" s="13"/>
      <c r="AA376" s="13"/>
      <c r="AB376" s="13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3"/>
    </row>
    <row r="377" spans="1:45" ht="40.5" customHeight="1" x14ac:dyDescent="0.2">
      <c r="A377" s="19"/>
      <c r="B377" s="19"/>
      <c r="C377" s="15"/>
      <c r="D377" s="15"/>
      <c r="E377" s="13"/>
      <c r="F377" s="34" t="str" cm="1">
        <f t="array" ref="F377">IF($A377="","",GetMatchingValue($XFD$8,"Original","Control Number",F$2,$A377))</f>
        <v/>
      </c>
      <c r="G377" s="34" t="str" cm="1">
        <f t="array" ref="G377">IF($A377="","",GetMatchingValue($XFD$8,"Original","Control Number",G$2,$A377))</f>
        <v/>
      </c>
      <c r="H377" s="34" t="str" cm="1">
        <f t="array" ref="H377">IF($A377="","",GetMatchingValue($XFD$8,"Original","Control Number",H$2,$A377))</f>
        <v/>
      </c>
      <c r="I377" s="13"/>
      <c r="J377" s="13" t="str" cm="1">
        <f t="array" ref="J377">IF($A377="","",CheckControlNumberExists($XFD$9, "Original", $A377))</f>
        <v/>
      </c>
      <c r="K377" s="34" t="str" cm="1">
        <f t="array" ref="K377">IF($A377="","",IF($J377="No","",GetMatchingValue($XFD$9,"Original","Control Number",K$2,$A377)))</f>
        <v/>
      </c>
      <c r="L377" s="34" t="str" cm="1">
        <f t="array" ref="L377">IF($A377="","",IF($J377="No","",GetMatchingValue($XFD$9,"Original","Control Number",L$2,$A377)))</f>
        <v/>
      </c>
      <c r="M377" s="13" t="str">
        <f t="shared" ca="1" si="7"/>
        <v/>
      </c>
      <c r="N377" s="16"/>
      <c r="O377" s="34" t="str" cm="1">
        <f t="array" ref="O377">IF($A377="","",IF($J377="No","",GetMatchingValue($XFD$9,"Original","Control Number",O$2,$A377)))</f>
        <v/>
      </c>
      <c r="P377" s="34" t="str" cm="1">
        <f t="array" ref="P377">IF($A377="","",IF($J377="No","",GetMatchingValue($XFD$9,"Original","Control Number",P$2,$A377)))</f>
        <v/>
      </c>
      <c r="Q377" s="34" t="str" cm="1">
        <f t="array" ref="Q377">IF($A377="","",IF($J377="No","",GetMatchingValue($XFD$9,"Original","Control Number",Q$2,$A377)))</f>
        <v/>
      </c>
      <c r="R377" s="34" t="str" cm="1">
        <f t="array" ref="R377">IF($A377="","",IF($J377="No","",GetMatchingValue($XFD$9,"Original","Control Number",R$2,$A377)))</f>
        <v/>
      </c>
      <c r="S377" s="34" t="str" cm="1">
        <f t="array" ref="S377">IF($A377="","",IF($J377="No","",GetMatchingValue($XFD$9,"Original","Control Number",S$2,$A377)))</f>
        <v/>
      </c>
      <c r="T377" s="34" t="str" cm="1">
        <f t="array" ref="T377">IF($A377="","",IF($J377="No","",GetMatchingValue($XFD$9,"Original","Control Number",T$2,$A377)))</f>
        <v/>
      </c>
      <c r="U377" s="34" t="str" cm="1">
        <f t="array" ref="U377">IF($A377="","",IF($J377="No","",GetMatchingValue($XFD$9,"Original","Control Number",U$2,$A377)))</f>
        <v/>
      </c>
      <c r="V377" s="14"/>
      <c r="W377" s="17"/>
      <c r="X377" s="17"/>
      <c r="Y377" s="17"/>
      <c r="Z377" s="13"/>
      <c r="AA377" s="13"/>
      <c r="AB377" s="13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3"/>
    </row>
    <row r="378" spans="1:45" ht="40.5" customHeight="1" x14ac:dyDescent="0.2">
      <c r="A378" s="19"/>
      <c r="B378" s="19"/>
      <c r="C378" s="15"/>
      <c r="D378" s="15"/>
      <c r="E378" s="13"/>
      <c r="F378" s="34" t="str" cm="1">
        <f t="array" ref="F378">IF($A378="","",GetMatchingValue($XFD$8,"Original","Control Number",F$2,$A378))</f>
        <v/>
      </c>
      <c r="G378" s="34" t="str" cm="1">
        <f t="array" ref="G378">IF($A378="","",GetMatchingValue($XFD$8,"Original","Control Number",G$2,$A378))</f>
        <v/>
      </c>
      <c r="H378" s="34" t="str" cm="1">
        <f t="array" ref="H378">IF($A378="","",GetMatchingValue($XFD$8,"Original","Control Number",H$2,$A378))</f>
        <v/>
      </c>
      <c r="I378" s="13"/>
      <c r="J378" s="13" t="str" cm="1">
        <f t="array" ref="J378">IF($A378="","",CheckControlNumberExists($XFD$9, "Original", $A378))</f>
        <v/>
      </c>
      <c r="K378" s="34" t="str" cm="1">
        <f t="array" ref="K378">IF($A378="","",IF($J378="No","",GetMatchingValue($XFD$9,"Original","Control Number",K$2,$A378)))</f>
        <v/>
      </c>
      <c r="L378" s="34" t="str" cm="1">
        <f t="array" ref="L378">IF($A378="","",IF($J378="No","",GetMatchingValue($XFD$9,"Original","Control Number",L$2,$A378)))</f>
        <v/>
      </c>
      <c r="M378" s="13" t="str">
        <f t="shared" ca="1" si="7"/>
        <v/>
      </c>
      <c r="N378" s="16"/>
      <c r="O378" s="34" t="str" cm="1">
        <f t="array" ref="O378">IF($A378="","",IF($J378="No","",GetMatchingValue($XFD$9,"Original","Control Number",O$2,$A378)))</f>
        <v/>
      </c>
      <c r="P378" s="34" t="str" cm="1">
        <f t="array" ref="P378">IF($A378="","",IF($J378="No","",GetMatchingValue($XFD$9,"Original","Control Number",P$2,$A378)))</f>
        <v/>
      </c>
      <c r="Q378" s="34" t="str" cm="1">
        <f t="array" ref="Q378">IF($A378="","",IF($J378="No","",GetMatchingValue($XFD$9,"Original","Control Number",Q$2,$A378)))</f>
        <v/>
      </c>
      <c r="R378" s="34" t="str" cm="1">
        <f t="array" ref="R378">IF($A378="","",IF($J378="No","",GetMatchingValue($XFD$9,"Original","Control Number",R$2,$A378)))</f>
        <v/>
      </c>
      <c r="S378" s="34" t="str" cm="1">
        <f t="array" ref="S378">IF($A378="","",IF($J378="No","",GetMatchingValue($XFD$9,"Original","Control Number",S$2,$A378)))</f>
        <v/>
      </c>
      <c r="T378" s="34" t="str" cm="1">
        <f t="array" ref="T378">IF($A378="","",IF($J378="No","",GetMatchingValue($XFD$9,"Original","Control Number",T$2,$A378)))</f>
        <v/>
      </c>
      <c r="U378" s="34" t="str" cm="1">
        <f t="array" ref="U378">IF($A378="","",IF($J378="No","",GetMatchingValue($XFD$9,"Original","Control Number",U$2,$A378)))</f>
        <v/>
      </c>
      <c r="V378" s="14"/>
      <c r="W378" s="17"/>
      <c r="X378" s="17"/>
      <c r="Y378" s="17"/>
      <c r="Z378" s="13"/>
      <c r="AA378" s="13"/>
      <c r="AB378" s="13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3"/>
    </row>
    <row r="379" spans="1:45" ht="40.5" customHeight="1" x14ac:dyDescent="0.2">
      <c r="A379" s="19"/>
      <c r="B379" s="19"/>
      <c r="C379" s="15"/>
      <c r="D379" s="15"/>
      <c r="E379" s="13"/>
      <c r="F379" s="34" t="str" cm="1">
        <f t="array" ref="F379">IF($A379="","",GetMatchingValue($XFD$8,"Original","Control Number",F$2,$A379))</f>
        <v/>
      </c>
      <c r="G379" s="34" t="str" cm="1">
        <f t="array" ref="G379">IF($A379="","",GetMatchingValue($XFD$8,"Original","Control Number",G$2,$A379))</f>
        <v/>
      </c>
      <c r="H379" s="34" t="str" cm="1">
        <f t="array" ref="H379">IF($A379="","",GetMatchingValue($XFD$8,"Original","Control Number",H$2,$A379))</f>
        <v/>
      </c>
      <c r="I379" s="13"/>
      <c r="J379" s="13" t="str" cm="1">
        <f t="array" ref="J379">IF($A379="","",CheckControlNumberExists($XFD$9, "Original", $A379))</f>
        <v/>
      </c>
      <c r="K379" s="34" t="str" cm="1">
        <f t="array" ref="K379">IF($A379="","",IF($J379="No","",GetMatchingValue($XFD$9,"Original","Control Number",K$2,$A379)))</f>
        <v/>
      </c>
      <c r="L379" s="34" t="str" cm="1">
        <f t="array" ref="L379">IF($A379="","",IF($J379="No","",GetMatchingValue($XFD$9,"Original","Control Number",L$2,$A379)))</f>
        <v/>
      </c>
      <c r="M379" s="13" t="str">
        <f t="shared" ca="1" si="7"/>
        <v/>
      </c>
      <c r="N379" s="16"/>
      <c r="O379" s="34" t="str" cm="1">
        <f t="array" ref="O379">IF($A379="","",IF($J379="No","",GetMatchingValue($XFD$9,"Original","Control Number",O$2,$A379)))</f>
        <v/>
      </c>
      <c r="P379" s="34" t="str" cm="1">
        <f t="array" ref="P379">IF($A379="","",IF($J379="No","",GetMatchingValue($XFD$9,"Original","Control Number",P$2,$A379)))</f>
        <v/>
      </c>
      <c r="Q379" s="34" t="str" cm="1">
        <f t="array" ref="Q379">IF($A379="","",IF($J379="No","",GetMatchingValue($XFD$9,"Original","Control Number",Q$2,$A379)))</f>
        <v/>
      </c>
      <c r="R379" s="34" t="str" cm="1">
        <f t="array" ref="R379">IF($A379="","",IF($J379="No","",GetMatchingValue($XFD$9,"Original","Control Number",R$2,$A379)))</f>
        <v/>
      </c>
      <c r="S379" s="34" t="str" cm="1">
        <f t="array" ref="S379">IF($A379="","",IF($J379="No","",GetMatchingValue($XFD$9,"Original","Control Number",S$2,$A379)))</f>
        <v/>
      </c>
      <c r="T379" s="34" t="str" cm="1">
        <f t="array" ref="T379">IF($A379="","",IF($J379="No","",GetMatchingValue($XFD$9,"Original","Control Number",T$2,$A379)))</f>
        <v/>
      </c>
      <c r="U379" s="34" t="str" cm="1">
        <f t="array" ref="U379">IF($A379="","",IF($J379="No","",GetMatchingValue($XFD$9,"Original","Control Number",U$2,$A379)))</f>
        <v/>
      </c>
      <c r="V379" s="14"/>
      <c r="W379" s="17"/>
      <c r="X379" s="17"/>
      <c r="Y379" s="17"/>
      <c r="Z379" s="13"/>
      <c r="AA379" s="13"/>
      <c r="AB379" s="13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3"/>
    </row>
    <row r="380" spans="1:45" ht="40.5" customHeight="1" x14ac:dyDescent="0.2">
      <c r="A380" s="19"/>
      <c r="B380" s="19"/>
      <c r="C380" s="15"/>
      <c r="D380" s="15"/>
      <c r="E380" s="13"/>
      <c r="F380" s="34" t="str" cm="1">
        <f t="array" ref="F380">IF($A380="","",GetMatchingValue($XFD$8,"Original","Control Number",F$2,$A380))</f>
        <v/>
      </c>
      <c r="G380" s="34" t="str" cm="1">
        <f t="array" ref="G380">IF($A380="","",GetMatchingValue($XFD$8,"Original","Control Number",G$2,$A380))</f>
        <v/>
      </c>
      <c r="H380" s="34" t="str" cm="1">
        <f t="array" ref="H380">IF($A380="","",GetMatchingValue($XFD$8,"Original","Control Number",H$2,$A380))</f>
        <v/>
      </c>
      <c r="I380" s="13"/>
      <c r="J380" s="13" t="str" cm="1">
        <f t="array" ref="J380">IF($A380="","",CheckControlNumberExists($XFD$9, "Original", $A380))</f>
        <v/>
      </c>
      <c r="K380" s="34" t="str" cm="1">
        <f t="array" ref="K380">IF($A380="","",IF($J380="No","",GetMatchingValue($XFD$9,"Original","Control Number",K$2,$A380)))</f>
        <v/>
      </c>
      <c r="L380" s="34" t="str" cm="1">
        <f t="array" ref="L380">IF($A380="","",IF($J380="No","",GetMatchingValue($XFD$9,"Original","Control Number",L$2,$A380)))</f>
        <v/>
      </c>
      <c r="M380" s="13" t="str">
        <f t="shared" ca="1" si="7"/>
        <v/>
      </c>
      <c r="N380" s="16"/>
      <c r="O380" s="34" t="str" cm="1">
        <f t="array" ref="O380">IF($A380="","",IF($J380="No","",GetMatchingValue($XFD$9,"Original","Control Number",O$2,$A380)))</f>
        <v/>
      </c>
      <c r="P380" s="34" t="str" cm="1">
        <f t="array" ref="P380">IF($A380="","",IF($J380="No","",GetMatchingValue($XFD$9,"Original","Control Number",P$2,$A380)))</f>
        <v/>
      </c>
      <c r="Q380" s="34" t="str" cm="1">
        <f t="array" ref="Q380">IF($A380="","",IF($J380="No","",GetMatchingValue($XFD$9,"Original","Control Number",Q$2,$A380)))</f>
        <v/>
      </c>
      <c r="R380" s="34" t="str" cm="1">
        <f t="array" ref="R380">IF($A380="","",IF($J380="No","",GetMatchingValue($XFD$9,"Original","Control Number",R$2,$A380)))</f>
        <v/>
      </c>
      <c r="S380" s="34" t="str" cm="1">
        <f t="array" ref="S380">IF($A380="","",IF($J380="No","",GetMatchingValue($XFD$9,"Original","Control Number",S$2,$A380)))</f>
        <v/>
      </c>
      <c r="T380" s="34" t="str" cm="1">
        <f t="array" ref="T380">IF($A380="","",IF($J380="No","",GetMatchingValue($XFD$9,"Original","Control Number",T$2,$A380)))</f>
        <v/>
      </c>
      <c r="U380" s="34" t="str" cm="1">
        <f t="array" ref="U380">IF($A380="","",IF($J380="No","",GetMatchingValue($XFD$9,"Original","Control Number",U$2,$A380)))</f>
        <v/>
      </c>
      <c r="V380" s="14"/>
      <c r="W380" s="17"/>
      <c r="X380" s="17"/>
      <c r="Y380" s="17"/>
      <c r="Z380" s="13"/>
      <c r="AA380" s="13"/>
      <c r="AB380" s="13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3"/>
    </row>
    <row r="381" spans="1:45" ht="40.5" customHeight="1" x14ac:dyDescent="0.2">
      <c r="A381" s="19"/>
      <c r="B381" s="19"/>
      <c r="C381" s="15"/>
      <c r="D381" s="15"/>
      <c r="E381" s="13"/>
      <c r="F381" s="34" t="str" cm="1">
        <f t="array" ref="F381">IF($A381="","",GetMatchingValue($XFD$8,"Original","Control Number",F$2,$A381))</f>
        <v/>
      </c>
      <c r="G381" s="34" t="str" cm="1">
        <f t="array" ref="G381">IF($A381="","",GetMatchingValue($XFD$8,"Original","Control Number",G$2,$A381))</f>
        <v/>
      </c>
      <c r="H381" s="34" t="str" cm="1">
        <f t="array" ref="H381">IF($A381="","",GetMatchingValue($XFD$8,"Original","Control Number",H$2,$A381))</f>
        <v/>
      </c>
      <c r="I381" s="13"/>
      <c r="J381" s="13" t="str" cm="1">
        <f t="array" ref="J381">IF($A381="","",CheckControlNumberExists($XFD$9, "Original", $A381))</f>
        <v/>
      </c>
      <c r="K381" s="34" t="str" cm="1">
        <f t="array" ref="K381">IF($A381="","",IF($J381="No","",GetMatchingValue($XFD$9,"Original","Control Number",K$2,$A381)))</f>
        <v/>
      </c>
      <c r="L381" s="34" t="str" cm="1">
        <f t="array" ref="L381">IF($A381="","",IF($J381="No","",GetMatchingValue($XFD$9,"Original","Control Number",L$2,$A381)))</f>
        <v/>
      </c>
      <c r="M381" s="13" t="str">
        <f t="shared" ca="1" si="7"/>
        <v/>
      </c>
      <c r="N381" s="16"/>
      <c r="O381" s="34" t="str" cm="1">
        <f t="array" ref="O381">IF($A381="","",IF($J381="No","",GetMatchingValue($XFD$9,"Original","Control Number",O$2,$A381)))</f>
        <v/>
      </c>
      <c r="P381" s="34" t="str" cm="1">
        <f t="array" ref="P381">IF($A381="","",IF($J381="No","",GetMatchingValue($XFD$9,"Original","Control Number",P$2,$A381)))</f>
        <v/>
      </c>
      <c r="Q381" s="34" t="str" cm="1">
        <f t="array" ref="Q381">IF($A381="","",IF($J381="No","",GetMatchingValue($XFD$9,"Original","Control Number",Q$2,$A381)))</f>
        <v/>
      </c>
      <c r="R381" s="34" t="str" cm="1">
        <f t="array" ref="R381">IF($A381="","",IF($J381="No","",GetMatchingValue($XFD$9,"Original","Control Number",R$2,$A381)))</f>
        <v/>
      </c>
      <c r="S381" s="34" t="str" cm="1">
        <f t="array" ref="S381">IF($A381="","",IF($J381="No","",GetMatchingValue($XFD$9,"Original","Control Number",S$2,$A381)))</f>
        <v/>
      </c>
      <c r="T381" s="34" t="str" cm="1">
        <f t="array" ref="T381">IF($A381="","",IF($J381="No","",GetMatchingValue($XFD$9,"Original","Control Number",T$2,$A381)))</f>
        <v/>
      </c>
      <c r="U381" s="34" t="str" cm="1">
        <f t="array" ref="U381">IF($A381="","",IF($J381="No","",GetMatchingValue($XFD$9,"Original","Control Number",U$2,$A381)))</f>
        <v/>
      </c>
      <c r="V381" s="14"/>
      <c r="W381" s="17"/>
      <c r="X381" s="17"/>
      <c r="Y381" s="17"/>
      <c r="Z381" s="13"/>
      <c r="AA381" s="13"/>
      <c r="AB381" s="13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3"/>
    </row>
    <row r="382" spans="1:45" ht="40.5" customHeight="1" x14ac:dyDescent="0.2">
      <c r="A382" s="19"/>
      <c r="B382" s="19"/>
      <c r="C382" s="15"/>
      <c r="D382" s="15"/>
      <c r="E382" s="13"/>
      <c r="F382" s="34" t="str" cm="1">
        <f t="array" ref="F382">IF($A382="","",GetMatchingValue($XFD$8,"Original","Control Number",F$2,$A382))</f>
        <v/>
      </c>
      <c r="G382" s="34" t="str" cm="1">
        <f t="array" ref="G382">IF($A382="","",GetMatchingValue($XFD$8,"Original","Control Number",G$2,$A382))</f>
        <v/>
      </c>
      <c r="H382" s="34" t="str" cm="1">
        <f t="array" ref="H382">IF($A382="","",GetMatchingValue($XFD$8,"Original","Control Number",H$2,$A382))</f>
        <v/>
      </c>
      <c r="I382" s="13"/>
      <c r="J382" s="13" t="str" cm="1">
        <f t="array" ref="J382">IF($A382="","",CheckControlNumberExists($XFD$9, "Original", $A382))</f>
        <v/>
      </c>
      <c r="K382" s="34" t="str" cm="1">
        <f t="array" ref="K382">IF($A382="","",IF($J382="No","",GetMatchingValue($XFD$9,"Original","Control Number",K$2,$A382)))</f>
        <v/>
      </c>
      <c r="L382" s="34" t="str" cm="1">
        <f t="array" ref="L382">IF($A382="","",IF($J382="No","",GetMatchingValue($XFD$9,"Original","Control Number",L$2,$A382)))</f>
        <v/>
      </c>
      <c r="M382" s="13" t="str">
        <f t="shared" ca="1" si="7"/>
        <v/>
      </c>
      <c r="N382" s="16"/>
      <c r="O382" s="34" t="str" cm="1">
        <f t="array" ref="O382">IF($A382="","",IF($J382="No","",GetMatchingValue($XFD$9,"Original","Control Number",O$2,$A382)))</f>
        <v/>
      </c>
      <c r="P382" s="34" t="str" cm="1">
        <f t="array" ref="P382">IF($A382="","",IF($J382="No","",GetMatchingValue($XFD$9,"Original","Control Number",P$2,$A382)))</f>
        <v/>
      </c>
      <c r="Q382" s="34" t="str" cm="1">
        <f t="array" ref="Q382">IF($A382="","",IF($J382="No","",GetMatchingValue($XFD$9,"Original","Control Number",Q$2,$A382)))</f>
        <v/>
      </c>
      <c r="R382" s="34" t="str" cm="1">
        <f t="array" ref="R382">IF($A382="","",IF($J382="No","",GetMatchingValue($XFD$9,"Original","Control Number",R$2,$A382)))</f>
        <v/>
      </c>
      <c r="S382" s="34" t="str" cm="1">
        <f t="array" ref="S382">IF($A382="","",IF($J382="No","",GetMatchingValue($XFD$9,"Original","Control Number",S$2,$A382)))</f>
        <v/>
      </c>
      <c r="T382" s="34" t="str" cm="1">
        <f t="array" ref="T382">IF($A382="","",IF($J382="No","",GetMatchingValue($XFD$9,"Original","Control Number",T$2,$A382)))</f>
        <v/>
      </c>
      <c r="U382" s="34" t="str" cm="1">
        <f t="array" ref="U382">IF($A382="","",IF($J382="No","",GetMatchingValue($XFD$9,"Original","Control Number",U$2,$A382)))</f>
        <v/>
      </c>
      <c r="V382" s="14"/>
      <c r="W382" s="17"/>
      <c r="X382" s="17"/>
      <c r="Y382" s="17"/>
      <c r="Z382" s="13"/>
      <c r="AA382" s="13"/>
      <c r="AB382" s="13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3"/>
    </row>
    <row r="383" spans="1:45" ht="40.5" customHeight="1" x14ac:dyDescent="0.2">
      <c r="A383" s="19"/>
      <c r="B383" s="19"/>
      <c r="C383" s="15"/>
      <c r="D383" s="15"/>
      <c r="E383" s="13"/>
      <c r="F383" s="34" t="str" cm="1">
        <f t="array" ref="F383">IF($A383="","",GetMatchingValue($XFD$8,"Original","Control Number",F$2,$A383))</f>
        <v/>
      </c>
      <c r="G383" s="34" t="str" cm="1">
        <f t="array" ref="G383">IF($A383="","",GetMatchingValue($XFD$8,"Original","Control Number",G$2,$A383))</f>
        <v/>
      </c>
      <c r="H383" s="34" t="str" cm="1">
        <f t="array" ref="H383">IF($A383="","",GetMatchingValue($XFD$8,"Original","Control Number",H$2,$A383))</f>
        <v/>
      </c>
      <c r="I383" s="13"/>
      <c r="J383" s="13" t="str" cm="1">
        <f t="array" ref="J383">IF($A383="","",CheckControlNumberExists($XFD$9, "Original", $A383))</f>
        <v/>
      </c>
      <c r="K383" s="34" t="str" cm="1">
        <f t="array" ref="K383">IF($A383="","",IF($J383="No","",GetMatchingValue($XFD$9,"Original","Control Number",K$2,$A383)))</f>
        <v/>
      </c>
      <c r="L383" s="34" t="str" cm="1">
        <f t="array" ref="L383">IF($A383="","",IF($J383="No","",GetMatchingValue($XFD$9,"Original","Control Number",L$2,$A383)))</f>
        <v/>
      </c>
      <c r="M383" s="13" t="str">
        <f t="shared" ca="1" si="7"/>
        <v/>
      </c>
      <c r="N383" s="16"/>
      <c r="O383" s="34" t="str" cm="1">
        <f t="array" ref="O383">IF($A383="","",IF($J383="No","",GetMatchingValue($XFD$9,"Original","Control Number",O$2,$A383)))</f>
        <v/>
      </c>
      <c r="P383" s="34" t="str" cm="1">
        <f t="array" ref="P383">IF($A383="","",IF($J383="No","",GetMatchingValue($XFD$9,"Original","Control Number",P$2,$A383)))</f>
        <v/>
      </c>
      <c r="Q383" s="34" t="str" cm="1">
        <f t="array" ref="Q383">IF($A383="","",IF($J383="No","",GetMatchingValue($XFD$9,"Original","Control Number",Q$2,$A383)))</f>
        <v/>
      </c>
      <c r="R383" s="34" t="str" cm="1">
        <f t="array" ref="R383">IF($A383="","",IF($J383="No","",GetMatchingValue($XFD$9,"Original","Control Number",R$2,$A383)))</f>
        <v/>
      </c>
      <c r="S383" s="34" t="str" cm="1">
        <f t="array" ref="S383">IF($A383="","",IF($J383="No","",GetMatchingValue($XFD$9,"Original","Control Number",S$2,$A383)))</f>
        <v/>
      </c>
      <c r="T383" s="34" t="str" cm="1">
        <f t="array" ref="T383">IF($A383="","",IF($J383="No","",GetMatchingValue($XFD$9,"Original","Control Number",T$2,$A383)))</f>
        <v/>
      </c>
      <c r="U383" s="34" t="str" cm="1">
        <f t="array" ref="U383">IF($A383="","",IF($J383="No","",GetMatchingValue($XFD$9,"Original","Control Number",U$2,$A383)))</f>
        <v/>
      </c>
      <c r="V383" s="14"/>
      <c r="W383" s="17"/>
      <c r="X383" s="17"/>
      <c r="Y383" s="17"/>
      <c r="Z383" s="13"/>
      <c r="AA383" s="13"/>
      <c r="AB383" s="13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3"/>
    </row>
    <row r="384" spans="1:45" ht="40.5" customHeight="1" x14ac:dyDescent="0.2">
      <c r="A384" s="19"/>
      <c r="B384" s="19"/>
      <c r="C384" s="15"/>
      <c r="D384" s="15"/>
      <c r="E384" s="13"/>
      <c r="F384" s="34" t="str" cm="1">
        <f t="array" ref="F384">IF($A384="","",GetMatchingValue($XFD$8,"Original","Control Number",F$2,$A384))</f>
        <v/>
      </c>
      <c r="G384" s="34" t="str" cm="1">
        <f t="array" ref="G384">IF($A384="","",GetMatchingValue($XFD$8,"Original","Control Number",G$2,$A384))</f>
        <v/>
      </c>
      <c r="H384" s="34" t="str" cm="1">
        <f t="array" ref="H384">IF($A384="","",GetMatchingValue($XFD$8,"Original","Control Number",H$2,$A384))</f>
        <v/>
      </c>
      <c r="I384" s="13"/>
      <c r="J384" s="13" t="str" cm="1">
        <f t="array" ref="J384">IF($A384="","",CheckControlNumberExists($XFD$9, "Original", $A384))</f>
        <v/>
      </c>
      <c r="K384" s="34" t="str" cm="1">
        <f t="array" ref="K384">IF($A384="","",IF($J384="No","",GetMatchingValue($XFD$9,"Original","Control Number",K$2,$A384)))</f>
        <v/>
      </c>
      <c r="L384" s="34" t="str" cm="1">
        <f t="array" ref="L384">IF($A384="","",IF($J384="No","",GetMatchingValue($XFD$9,"Original","Control Number",L$2,$A384)))</f>
        <v/>
      </c>
      <c r="M384" s="13" t="str">
        <f t="shared" ca="1" si="7"/>
        <v/>
      </c>
      <c r="N384" s="16"/>
      <c r="O384" s="34" t="str" cm="1">
        <f t="array" ref="O384">IF($A384="","",IF($J384="No","",GetMatchingValue($XFD$9,"Original","Control Number",O$2,$A384)))</f>
        <v/>
      </c>
      <c r="P384" s="34" t="str" cm="1">
        <f t="array" ref="P384">IF($A384="","",IF($J384="No","",GetMatchingValue($XFD$9,"Original","Control Number",P$2,$A384)))</f>
        <v/>
      </c>
      <c r="Q384" s="34" t="str" cm="1">
        <f t="array" ref="Q384">IF($A384="","",IF($J384="No","",GetMatchingValue($XFD$9,"Original","Control Number",Q$2,$A384)))</f>
        <v/>
      </c>
      <c r="R384" s="34" t="str" cm="1">
        <f t="array" ref="R384">IF($A384="","",IF($J384="No","",GetMatchingValue($XFD$9,"Original","Control Number",R$2,$A384)))</f>
        <v/>
      </c>
      <c r="S384" s="34" t="str" cm="1">
        <f t="array" ref="S384">IF($A384="","",IF($J384="No","",GetMatchingValue($XFD$9,"Original","Control Number",S$2,$A384)))</f>
        <v/>
      </c>
      <c r="T384" s="34" t="str" cm="1">
        <f t="array" ref="T384">IF($A384="","",IF($J384="No","",GetMatchingValue($XFD$9,"Original","Control Number",T$2,$A384)))</f>
        <v/>
      </c>
      <c r="U384" s="34" t="str" cm="1">
        <f t="array" ref="U384">IF($A384="","",IF($J384="No","",GetMatchingValue($XFD$9,"Original","Control Number",U$2,$A384)))</f>
        <v/>
      </c>
      <c r="V384" s="14"/>
      <c r="W384" s="17"/>
      <c r="X384" s="17"/>
      <c r="Y384" s="17"/>
      <c r="Z384" s="13"/>
      <c r="AA384" s="13"/>
      <c r="AB384" s="13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3"/>
    </row>
    <row r="385" spans="1:45" ht="40.5" customHeight="1" x14ac:dyDescent="0.2">
      <c r="A385" s="19"/>
      <c r="B385" s="19"/>
      <c r="C385" s="15"/>
      <c r="D385" s="15"/>
      <c r="E385" s="13"/>
      <c r="F385" s="34" t="str" cm="1">
        <f t="array" ref="F385">IF($A385="","",GetMatchingValue($XFD$8,"Original","Control Number",F$2,$A385))</f>
        <v/>
      </c>
      <c r="G385" s="34" t="str" cm="1">
        <f t="array" ref="G385">IF($A385="","",GetMatchingValue($XFD$8,"Original","Control Number",G$2,$A385))</f>
        <v/>
      </c>
      <c r="H385" s="34" t="str" cm="1">
        <f t="array" ref="H385">IF($A385="","",GetMatchingValue($XFD$8,"Original","Control Number",H$2,$A385))</f>
        <v/>
      </c>
      <c r="I385" s="13"/>
      <c r="J385" s="13" t="str" cm="1">
        <f t="array" ref="J385">IF($A385="","",CheckControlNumberExists($XFD$9, "Original", $A385))</f>
        <v/>
      </c>
      <c r="K385" s="34" t="str" cm="1">
        <f t="array" ref="K385">IF($A385="","",IF($J385="No","",GetMatchingValue($XFD$9,"Original","Control Number",K$2,$A385)))</f>
        <v/>
      </c>
      <c r="L385" s="34" t="str" cm="1">
        <f t="array" ref="L385">IF($A385="","",IF($J385="No","",GetMatchingValue($XFD$9,"Original","Control Number",L$2,$A385)))</f>
        <v/>
      </c>
      <c r="M385" s="13" t="str">
        <f t="shared" ca="1" si="7"/>
        <v/>
      </c>
      <c r="N385" s="16"/>
      <c r="O385" s="34" t="str" cm="1">
        <f t="array" ref="O385">IF($A385="","",IF($J385="No","",GetMatchingValue($XFD$9,"Original","Control Number",O$2,$A385)))</f>
        <v/>
      </c>
      <c r="P385" s="34" t="str" cm="1">
        <f t="array" ref="P385">IF($A385="","",IF($J385="No","",GetMatchingValue($XFD$9,"Original","Control Number",P$2,$A385)))</f>
        <v/>
      </c>
      <c r="Q385" s="34" t="str" cm="1">
        <f t="array" ref="Q385">IF($A385="","",IF($J385="No","",GetMatchingValue($XFD$9,"Original","Control Number",Q$2,$A385)))</f>
        <v/>
      </c>
      <c r="R385" s="34" t="str" cm="1">
        <f t="array" ref="R385">IF($A385="","",IF($J385="No","",GetMatchingValue($XFD$9,"Original","Control Number",R$2,$A385)))</f>
        <v/>
      </c>
      <c r="S385" s="34" t="str" cm="1">
        <f t="array" ref="S385">IF($A385="","",IF($J385="No","",GetMatchingValue($XFD$9,"Original","Control Number",S$2,$A385)))</f>
        <v/>
      </c>
      <c r="T385" s="34" t="str" cm="1">
        <f t="array" ref="T385">IF($A385="","",IF($J385="No","",GetMatchingValue($XFD$9,"Original","Control Number",T$2,$A385)))</f>
        <v/>
      </c>
      <c r="U385" s="34" t="str" cm="1">
        <f t="array" ref="U385">IF($A385="","",IF($J385="No","",GetMatchingValue($XFD$9,"Original","Control Number",U$2,$A385)))</f>
        <v/>
      </c>
      <c r="V385" s="14"/>
      <c r="W385" s="17"/>
      <c r="X385" s="17"/>
      <c r="Y385" s="17"/>
      <c r="Z385" s="13"/>
      <c r="AA385" s="13"/>
      <c r="AB385" s="13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3"/>
    </row>
    <row r="386" spans="1:45" ht="40.5" customHeight="1" x14ac:dyDescent="0.2">
      <c r="A386" s="19"/>
      <c r="B386" s="19"/>
      <c r="C386" s="15"/>
      <c r="D386" s="15"/>
      <c r="E386" s="13"/>
      <c r="F386" s="34" t="str" cm="1">
        <f t="array" ref="F386">IF($A386="","",GetMatchingValue($XFD$8,"Original","Control Number",F$2,$A386))</f>
        <v/>
      </c>
      <c r="G386" s="34" t="str" cm="1">
        <f t="array" ref="G386">IF($A386="","",GetMatchingValue($XFD$8,"Original","Control Number",G$2,$A386))</f>
        <v/>
      </c>
      <c r="H386" s="34" t="str" cm="1">
        <f t="array" ref="H386">IF($A386="","",GetMatchingValue($XFD$8,"Original","Control Number",H$2,$A386))</f>
        <v/>
      </c>
      <c r="I386" s="13"/>
      <c r="J386" s="13" t="str" cm="1">
        <f t="array" ref="J386">IF($A386="","",CheckControlNumberExists($XFD$9, "Original", $A386))</f>
        <v/>
      </c>
      <c r="K386" s="34" t="str" cm="1">
        <f t="array" ref="K386">IF($A386="","",IF($J386="No","",GetMatchingValue($XFD$9,"Original","Control Number",K$2,$A386)))</f>
        <v/>
      </c>
      <c r="L386" s="34" t="str" cm="1">
        <f t="array" ref="L386">IF($A386="","",IF($J386="No","",GetMatchingValue($XFD$9,"Original","Control Number",L$2,$A386)))</f>
        <v/>
      </c>
      <c r="M386" s="13" t="str">
        <f t="shared" ca="1" si="7"/>
        <v/>
      </c>
      <c r="N386" s="16"/>
      <c r="O386" s="34" t="str" cm="1">
        <f t="array" ref="O386">IF($A386="","",IF($J386="No","",GetMatchingValue($XFD$9,"Original","Control Number",O$2,$A386)))</f>
        <v/>
      </c>
      <c r="P386" s="34" t="str" cm="1">
        <f t="array" ref="P386">IF($A386="","",IF($J386="No","",GetMatchingValue($XFD$9,"Original","Control Number",P$2,$A386)))</f>
        <v/>
      </c>
      <c r="Q386" s="34" t="str" cm="1">
        <f t="array" ref="Q386">IF($A386="","",IF($J386="No","",GetMatchingValue($XFD$9,"Original","Control Number",Q$2,$A386)))</f>
        <v/>
      </c>
      <c r="R386" s="34" t="str" cm="1">
        <f t="array" ref="R386">IF($A386="","",IF($J386="No","",GetMatchingValue($XFD$9,"Original","Control Number",R$2,$A386)))</f>
        <v/>
      </c>
      <c r="S386" s="34" t="str" cm="1">
        <f t="array" ref="S386">IF($A386="","",IF($J386="No","",GetMatchingValue($XFD$9,"Original","Control Number",S$2,$A386)))</f>
        <v/>
      </c>
      <c r="T386" s="34" t="str" cm="1">
        <f t="array" ref="T386">IF($A386="","",IF($J386="No","",GetMatchingValue($XFD$9,"Original","Control Number",T$2,$A386)))</f>
        <v/>
      </c>
      <c r="U386" s="34" t="str" cm="1">
        <f t="array" ref="U386">IF($A386="","",IF($J386="No","",GetMatchingValue($XFD$9,"Original","Control Number",U$2,$A386)))</f>
        <v/>
      </c>
      <c r="V386" s="14"/>
      <c r="W386" s="17"/>
      <c r="X386" s="17"/>
      <c r="Y386" s="17"/>
      <c r="Z386" s="13"/>
      <c r="AA386" s="13"/>
      <c r="AB386" s="13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3"/>
    </row>
    <row r="387" spans="1:45" ht="40.5" customHeight="1" x14ac:dyDescent="0.2">
      <c r="A387" s="19"/>
      <c r="B387" s="19"/>
      <c r="C387" s="15"/>
      <c r="D387" s="15"/>
      <c r="E387" s="13"/>
      <c r="F387" s="34" t="str" cm="1">
        <f t="array" ref="F387">IF($A387="","",GetMatchingValue($XFD$8,"Original","Control Number",F$2,$A387))</f>
        <v/>
      </c>
      <c r="G387" s="34" t="str" cm="1">
        <f t="array" ref="G387">IF($A387="","",GetMatchingValue($XFD$8,"Original","Control Number",G$2,$A387))</f>
        <v/>
      </c>
      <c r="H387" s="34" t="str" cm="1">
        <f t="array" ref="H387">IF($A387="","",GetMatchingValue($XFD$8,"Original","Control Number",H$2,$A387))</f>
        <v/>
      </c>
      <c r="I387" s="13"/>
      <c r="J387" s="13" t="str" cm="1">
        <f t="array" ref="J387">IF($A387="","",CheckControlNumberExists($XFD$9, "Original", $A387))</f>
        <v/>
      </c>
      <c r="K387" s="34" t="str" cm="1">
        <f t="array" ref="K387">IF($A387="","",IF($J387="No","",GetMatchingValue($XFD$9,"Original","Control Number",K$2,$A387)))</f>
        <v/>
      </c>
      <c r="L387" s="34" t="str" cm="1">
        <f t="array" ref="L387">IF($A387="","",IF($J387="No","",GetMatchingValue($XFD$9,"Original","Control Number",L$2,$A387)))</f>
        <v/>
      </c>
      <c r="M387" s="13" t="str">
        <f t="shared" ca="1" si="7"/>
        <v/>
      </c>
      <c r="N387" s="16"/>
      <c r="O387" s="34" t="str" cm="1">
        <f t="array" ref="O387">IF($A387="","",IF($J387="No","",GetMatchingValue($XFD$9,"Original","Control Number",O$2,$A387)))</f>
        <v/>
      </c>
      <c r="P387" s="34" t="str" cm="1">
        <f t="array" ref="P387">IF($A387="","",IF($J387="No","",GetMatchingValue($XFD$9,"Original","Control Number",P$2,$A387)))</f>
        <v/>
      </c>
      <c r="Q387" s="34" t="str" cm="1">
        <f t="array" ref="Q387">IF($A387="","",IF($J387="No","",GetMatchingValue($XFD$9,"Original","Control Number",Q$2,$A387)))</f>
        <v/>
      </c>
      <c r="R387" s="34" t="str" cm="1">
        <f t="array" ref="R387">IF($A387="","",IF($J387="No","",GetMatchingValue($XFD$9,"Original","Control Number",R$2,$A387)))</f>
        <v/>
      </c>
      <c r="S387" s="34" t="str" cm="1">
        <f t="array" ref="S387">IF($A387="","",IF($J387="No","",GetMatchingValue($XFD$9,"Original","Control Number",S$2,$A387)))</f>
        <v/>
      </c>
      <c r="T387" s="34" t="str" cm="1">
        <f t="array" ref="T387">IF($A387="","",IF($J387="No","",GetMatchingValue($XFD$9,"Original","Control Number",T$2,$A387)))</f>
        <v/>
      </c>
      <c r="U387" s="34" t="str" cm="1">
        <f t="array" ref="U387">IF($A387="","",IF($J387="No","",GetMatchingValue($XFD$9,"Original","Control Number",U$2,$A387)))</f>
        <v/>
      </c>
      <c r="V387" s="14"/>
      <c r="W387" s="17"/>
      <c r="X387" s="17"/>
      <c r="Y387" s="17"/>
      <c r="Z387" s="13"/>
      <c r="AA387" s="13"/>
      <c r="AB387" s="13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3"/>
    </row>
    <row r="388" spans="1:45" ht="40.5" customHeight="1" x14ac:dyDescent="0.2">
      <c r="A388" s="19"/>
      <c r="B388" s="19"/>
      <c r="C388" s="15"/>
      <c r="D388" s="15"/>
      <c r="E388" s="13"/>
      <c r="F388" s="34" t="str" cm="1">
        <f t="array" ref="F388">IF($A388="","",GetMatchingValue($XFD$8,"Original","Control Number",F$2,$A388))</f>
        <v/>
      </c>
      <c r="G388" s="34" t="str" cm="1">
        <f t="array" ref="G388">IF($A388="","",GetMatchingValue($XFD$8,"Original","Control Number",G$2,$A388))</f>
        <v/>
      </c>
      <c r="H388" s="34" t="str" cm="1">
        <f t="array" ref="H388">IF($A388="","",GetMatchingValue($XFD$8,"Original","Control Number",H$2,$A388))</f>
        <v/>
      </c>
      <c r="I388" s="13"/>
      <c r="J388" s="13" t="str" cm="1">
        <f t="array" ref="J388">IF($A388="","",CheckControlNumberExists($XFD$9, "Original", $A388))</f>
        <v/>
      </c>
      <c r="K388" s="34" t="str" cm="1">
        <f t="array" ref="K388">IF($A388="","",IF($J388="No","",GetMatchingValue($XFD$9,"Original","Control Number",K$2,$A388)))</f>
        <v/>
      </c>
      <c r="L388" s="34" t="str" cm="1">
        <f t="array" ref="L388">IF($A388="","",IF($J388="No","",GetMatchingValue($XFD$9,"Original","Control Number",L$2,$A388)))</f>
        <v/>
      </c>
      <c r="M388" s="13" t="str">
        <f t="shared" ca="1" si="7"/>
        <v/>
      </c>
      <c r="N388" s="16"/>
      <c r="O388" s="34" t="str" cm="1">
        <f t="array" ref="O388">IF($A388="","",IF($J388="No","",GetMatchingValue($XFD$9,"Original","Control Number",O$2,$A388)))</f>
        <v/>
      </c>
      <c r="P388" s="34" t="str" cm="1">
        <f t="array" ref="P388">IF($A388="","",IF($J388="No","",GetMatchingValue($XFD$9,"Original","Control Number",P$2,$A388)))</f>
        <v/>
      </c>
      <c r="Q388" s="34" t="str" cm="1">
        <f t="array" ref="Q388">IF($A388="","",IF($J388="No","",GetMatchingValue($XFD$9,"Original","Control Number",Q$2,$A388)))</f>
        <v/>
      </c>
      <c r="R388" s="34" t="str" cm="1">
        <f t="array" ref="R388">IF($A388="","",IF($J388="No","",GetMatchingValue($XFD$9,"Original","Control Number",R$2,$A388)))</f>
        <v/>
      </c>
      <c r="S388" s="34" t="str" cm="1">
        <f t="array" ref="S388">IF($A388="","",IF($J388="No","",GetMatchingValue($XFD$9,"Original","Control Number",S$2,$A388)))</f>
        <v/>
      </c>
      <c r="T388" s="34" t="str" cm="1">
        <f t="array" ref="T388">IF($A388="","",IF($J388="No","",GetMatchingValue($XFD$9,"Original","Control Number",T$2,$A388)))</f>
        <v/>
      </c>
      <c r="U388" s="34" t="str" cm="1">
        <f t="array" ref="U388">IF($A388="","",IF($J388="No","",GetMatchingValue($XFD$9,"Original","Control Number",U$2,$A388)))</f>
        <v/>
      </c>
      <c r="V388" s="14"/>
      <c r="W388" s="17"/>
      <c r="X388" s="17"/>
      <c r="Y388" s="17"/>
      <c r="Z388" s="13"/>
      <c r="AA388" s="13"/>
      <c r="AB388" s="13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3"/>
    </row>
    <row r="389" spans="1:45" ht="40.5" customHeight="1" x14ac:dyDescent="0.2">
      <c r="A389" s="19"/>
      <c r="B389" s="19"/>
      <c r="C389" s="15"/>
      <c r="D389" s="15"/>
      <c r="E389" s="13"/>
      <c r="F389" s="34" t="str" cm="1">
        <f t="array" ref="F389">IF($A389="","",GetMatchingValue($XFD$8,"Original","Control Number",F$2,$A389))</f>
        <v/>
      </c>
      <c r="G389" s="34" t="str" cm="1">
        <f t="array" ref="G389">IF($A389="","",GetMatchingValue($XFD$8,"Original","Control Number",G$2,$A389))</f>
        <v/>
      </c>
      <c r="H389" s="34" t="str" cm="1">
        <f t="array" ref="H389">IF($A389="","",GetMatchingValue($XFD$8,"Original","Control Number",H$2,$A389))</f>
        <v/>
      </c>
      <c r="I389" s="13"/>
      <c r="J389" s="13" t="str" cm="1">
        <f t="array" ref="J389">IF($A389="","",CheckControlNumberExists($XFD$9, "Original", $A389))</f>
        <v/>
      </c>
      <c r="K389" s="34" t="str" cm="1">
        <f t="array" ref="K389">IF($A389="","",IF($J389="No","",GetMatchingValue($XFD$9,"Original","Control Number",K$2,$A389)))</f>
        <v/>
      </c>
      <c r="L389" s="34" t="str" cm="1">
        <f t="array" ref="L389">IF($A389="","",IF($J389="No","",GetMatchingValue($XFD$9,"Original","Control Number",L$2,$A389)))</f>
        <v/>
      </c>
      <c r="M389" s="13" t="str">
        <f t="shared" ca="1" si="7"/>
        <v/>
      </c>
      <c r="N389" s="16"/>
      <c r="O389" s="34" t="str" cm="1">
        <f t="array" ref="O389">IF($A389="","",IF($J389="No","",GetMatchingValue($XFD$9,"Original","Control Number",O$2,$A389)))</f>
        <v/>
      </c>
      <c r="P389" s="34" t="str" cm="1">
        <f t="array" ref="P389">IF($A389="","",IF($J389="No","",GetMatchingValue($XFD$9,"Original","Control Number",P$2,$A389)))</f>
        <v/>
      </c>
      <c r="Q389" s="34" t="str" cm="1">
        <f t="array" ref="Q389">IF($A389="","",IF($J389="No","",GetMatchingValue($XFD$9,"Original","Control Number",Q$2,$A389)))</f>
        <v/>
      </c>
      <c r="R389" s="34" t="str" cm="1">
        <f t="array" ref="R389">IF($A389="","",IF($J389="No","",GetMatchingValue($XFD$9,"Original","Control Number",R$2,$A389)))</f>
        <v/>
      </c>
      <c r="S389" s="34" t="str" cm="1">
        <f t="array" ref="S389">IF($A389="","",IF($J389="No","",GetMatchingValue($XFD$9,"Original","Control Number",S$2,$A389)))</f>
        <v/>
      </c>
      <c r="T389" s="34" t="str" cm="1">
        <f t="array" ref="T389">IF($A389="","",IF($J389="No","",GetMatchingValue($XFD$9,"Original","Control Number",T$2,$A389)))</f>
        <v/>
      </c>
      <c r="U389" s="34" t="str" cm="1">
        <f t="array" ref="U389">IF($A389="","",IF($J389="No","",GetMatchingValue($XFD$9,"Original","Control Number",U$2,$A389)))</f>
        <v/>
      </c>
      <c r="V389" s="14"/>
      <c r="W389" s="17"/>
      <c r="X389" s="17"/>
      <c r="Y389" s="17"/>
      <c r="Z389" s="13"/>
      <c r="AA389" s="13"/>
      <c r="AB389" s="13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3"/>
    </row>
    <row r="390" spans="1:45" ht="40.5" customHeight="1" x14ac:dyDescent="0.2">
      <c r="A390" s="19"/>
      <c r="B390" s="19"/>
      <c r="C390" s="15"/>
      <c r="D390" s="15"/>
      <c r="E390" s="13"/>
      <c r="F390" s="34" t="str" cm="1">
        <f t="array" ref="F390">IF($A390="","",GetMatchingValue($XFD$8,"Original","Control Number",F$2,$A390))</f>
        <v/>
      </c>
      <c r="G390" s="34" t="str" cm="1">
        <f t="array" ref="G390">IF($A390="","",GetMatchingValue($XFD$8,"Original","Control Number",G$2,$A390))</f>
        <v/>
      </c>
      <c r="H390" s="34" t="str" cm="1">
        <f t="array" ref="H390">IF($A390="","",GetMatchingValue($XFD$8,"Original","Control Number",H$2,$A390))</f>
        <v/>
      </c>
      <c r="I390" s="13"/>
      <c r="J390" s="13" t="str" cm="1">
        <f t="array" ref="J390">IF($A390="","",CheckControlNumberExists($XFD$9, "Original", $A390))</f>
        <v/>
      </c>
      <c r="K390" s="34" t="str" cm="1">
        <f t="array" ref="K390">IF($A390="","",IF($J390="No","",GetMatchingValue($XFD$9,"Original","Control Number",K$2,$A390)))</f>
        <v/>
      </c>
      <c r="L390" s="34" t="str" cm="1">
        <f t="array" ref="L390">IF($A390="","",IF($J390="No","",GetMatchingValue($XFD$9,"Original","Control Number",L$2,$A390)))</f>
        <v/>
      </c>
      <c r="M390" s="13" t="str">
        <f t="shared" ca="1" si="7"/>
        <v/>
      </c>
      <c r="N390" s="16"/>
      <c r="O390" s="34" t="str" cm="1">
        <f t="array" ref="O390">IF($A390="","",IF($J390="No","",GetMatchingValue($XFD$9,"Original","Control Number",O$2,$A390)))</f>
        <v/>
      </c>
      <c r="P390" s="34" t="str" cm="1">
        <f t="array" ref="P390">IF($A390="","",IF($J390="No","",GetMatchingValue($XFD$9,"Original","Control Number",P$2,$A390)))</f>
        <v/>
      </c>
      <c r="Q390" s="34" t="str" cm="1">
        <f t="array" ref="Q390">IF($A390="","",IF($J390="No","",GetMatchingValue($XFD$9,"Original","Control Number",Q$2,$A390)))</f>
        <v/>
      </c>
      <c r="R390" s="34" t="str" cm="1">
        <f t="array" ref="R390">IF($A390="","",IF($J390="No","",GetMatchingValue($XFD$9,"Original","Control Number",R$2,$A390)))</f>
        <v/>
      </c>
      <c r="S390" s="34" t="str" cm="1">
        <f t="array" ref="S390">IF($A390="","",IF($J390="No","",GetMatchingValue($XFD$9,"Original","Control Number",S$2,$A390)))</f>
        <v/>
      </c>
      <c r="T390" s="34" t="str" cm="1">
        <f t="array" ref="T390">IF($A390="","",IF($J390="No","",GetMatchingValue($XFD$9,"Original","Control Number",T$2,$A390)))</f>
        <v/>
      </c>
      <c r="U390" s="34" t="str" cm="1">
        <f t="array" ref="U390">IF($A390="","",IF($J390="No","",GetMatchingValue($XFD$9,"Original","Control Number",U$2,$A390)))</f>
        <v/>
      </c>
      <c r="V390" s="14"/>
      <c r="W390" s="17"/>
      <c r="X390" s="17"/>
      <c r="Y390" s="17"/>
      <c r="Z390" s="13"/>
      <c r="AA390" s="13"/>
      <c r="AB390" s="13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3"/>
    </row>
    <row r="391" spans="1:45" ht="40.5" customHeight="1" x14ac:dyDescent="0.2">
      <c r="A391" s="19"/>
      <c r="B391" s="19"/>
      <c r="C391" s="15"/>
      <c r="D391" s="15"/>
      <c r="E391" s="13"/>
      <c r="F391" s="34" t="str" cm="1">
        <f t="array" ref="F391">IF($A391="","",GetMatchingValue($XFD$8,"Original","Control Number",F$2,$A391))</f>
        <v/>
      </c>
      <c r="G391" s="34" t="str" cm="1">
        <f t="array" ref="G391">IF($A391="","",GetMatchingValue($XFD$8,"Original","Control Number",G$2,$A391))</f>
        <v/>
      </c>
      <c r="H391" s="34" t="str" cm="1">
        <f t="array" ref="H391">IF($A391="","",GetMatchingValue($XFD$8,"Original","Control Number",H$2,$A391))</f>
        <v/>
      </c>
      <c r="I391" s="13"/>
      <c r="J391" s="13" t="str" cm="1">
        <f t="array" ref="J391">IF($A391="","",CheckControlNumberExists($XFD$9, "Original", $A391))</f>
        <v/>
      </c>
      <c r="K391" s="34" t="str" cm="1">
        <f t="array" ref="K391">IF($A391="","",IF($J391="No","",GetMatchingValue($XFD$9,"Original","Control Number",K$2,$A391)))</f>
        <v/>
      </c>
      <c r="L391" s="34" t="str" cm="1">
        <f t="array" ref="L391">IF($A391="","",IF($J391="No","",GetMatchingValue($XFD$9,"Original","Control Number",L$2,$A391)))</f>
        <v/>
      </c>
      <c r="M391" s="13" t="str">
        <f t="shared" ca="1" si="7"/>
        <v/>
      </c>
      <c r="N391" s="16"/>
      <c r="O391" s="34" t="str" cm="1">
        <f t="array" ref="O391">IF($A391="","",IF($J391="No","",GetMatchingValue($XFD$9,"Original","Control Number",O$2,$A391)))</f>
        <v/>
      </c>
      <c r="P391" s="34" t="str" cm="1">
        <f t="array" ref="P391">IF($A391="","",IF($J391="No","",GetMatchingValue($XFD$9,"Original","Control Number",P$2,$A391)))</f>
        <v/>
      </c>
      <c r="Q391" s="34" t="str" cm="1">
        <f t="array" ref="Q391">IF($A391="","",IF($J391="No","",GetMatchingValue($XFD$9,"Original","Control Number",Q$2,$A391)))</f>
        <v/>
      </c>
      <c r="R391" s="34" t="str" cm="1">
        <f t="array" ref="R391">IF($A391="","",IF($J391="No","",GetMatchingValue($XFD$9,"Original","Control Number",R$2,$A391)))</f>
        <v/>
      </c>
      <c r="S391" s="34" t="str" cm="1">
        <f t="array" ref="S391">IF($A391="","",IF($J391="No","",GetMatchingValue($XFD$9,"Original","Control Number",S$2,$A391)))</f>
        <v/>
      </c>
      <c r="T391" s="34" t="str" cm="1">
        <f t="array" ref="T391">IF($A391="","",IF($J391="No","",GetMatchingValue($XFD$9,"Original","Control Number",T$2,$A391)))</f>
        <v/>
      </c>
      <c r="U391" s="34" t="str" cm="1">
        <f t="array" ref="U391">IF($A391="","",IF($J391="No","",GetMatchingValue($XFD$9,"Original","Control Number",U$2,$A391)))</f>
        <v/>
      </c>
      <c r="V391" s="14"/>
      <c r="W391" s="17"/>
      <c r="X391" s="17"/>
      <c r="Y391" s="17"/>
      <c r="Z391" s="13"/>
      <c r="AA391" s="13"/>
      <c r="AB391" s="13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3"/>
    </row>
    <row r="392" spans="1:45" ht="40.5" customHeight="1" x14ac:dyDescent="0.2">
      <c r="A392" s="19"/>
      <c r="B392" s="19"/>
      <c r="C392" s="15"/>
      <c r="D392" s="15"/>
      <c r="E392" s="13"/>
      <c r="F392" s="34" t="str" cm="1">
        <f t="array" ref="F392">IF($A392="","",GetMatchingValue($XFD$8,"Original","Control Number",F$2,$A392))</f>
        <v/>
      </c>
      <c r="G392" s="34" t="str" cm="1">
        <f t="array" ref="G392">IF($A392="","",GetMatchingValue($XFD$8,"Original","Control Number",G$2,$A392))</f>
        <v/>
      </c>
      <c r="H392" s="34" t="str" cm="1">
        <f t="array" ref="H392">IF($A392="","",GetMatchingValue($XFD$8,"Original","Control Number",H$2,$A392))</f>
        <v/>
      </c>
      <c r="I392" s="13"/>
      <c r="J392" s="13" t="str" cm="1">
        <f t="array" ref="J392">IF($A392="","",CheckControlNumberExists($XFD$9, "Original", $A392))</f>
        <v/>
      </c>
      <c r="K392" s="34" t="str" cm="1">
        <f t="array" ref="K392">IF($A392="","",IF($J392="No","",GetMatchingValue($XFD$9,"Original","Control Number",K$2,$A392)))</f>
        <v/>
      </c>
      <c r="L392" s="34" t="str" cm="1">
        <f t="array" ref="L392">IF($A392="","",IF($J392="No","",GetMatchingValue($XFD$9,"Original","Control Number",L$2,$A392)))</f>
        <v/>
      </c>
      <c r="M392" s="13" t="str">
        <f t="shared" ca="1" si="7"/>
        <v/>
      </c>
      <c r="N392" s="16"/>
      <c r="O392" s="34" t="str" cm="1">
        <f t="array" ref="O392">IF($A392="","",IF($J392="No","",GetMatchingValue($XFD$9,"Original","Control Number",O$2,$A392)))</f>
        <v/>
      </c>
      <c r="P392" s="34" t="str" cm="1">
        <f t="array" ref="P392">IF($A392="","",IF($J392="No","",GetMatchingValue($XFD$9,"Original","Control Number",P$2,$A392)))</f>
        <v/>
      </c>
      <c r="Q392" s="34" t="str" cm="1">
        <f t="array" ref="Q392">IF($A392="","",IF($J392="No","",GetMatchingValue($XFD$9,"Original","Control Number",Q$2,$A392)))</f>
        <v/>
      </c>
      <c r="R392" s="34" t="str" cm="1">
        <f t="array" ref="R392">IF($A392="","",IF($J392="No","",GetMatchingValue($XFD$9,"Original","Control Number",R$2,$A392)))</f>
        <v/>
      </c>
      <c r="S392" s="34" t="str" cm="1">
        <f t="array" ref="S392">IF($A392="","",IF($J392="No","",GetMatchingValue($XFD$9,"Original","Control Number",S$2,$A392)))</f>
        <v/>
      </c>
      <c r="T392" s="34" t="str" cm="1">
        <f t="array" ref="T392">IF($A392="","",IF($J392="No","",GetMatchingValue($XFD$9,"Original","Control Number",T$2,$A392)))</f>
        <v/>
      </c>
      <c r="U392" s="34" t="str" cm="1">
        <f t="array" ref="U392">IF($A392="","",IF($J392="No","",GetMatchingValue($XFD$9,"Original","Control Number",U$2,$A392)))</f>
        <v/>
      </c>
      <c r="V392" s="14"/>
      <c r="W392" s="17"/>
      <c r="X392" s="17"/>
      <c r="Y392" s="17"/>
      <c r="Z392" s="13"/>
      <c r="AA392" s="13"/>
      <c r="AB392" s="13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3"/>
    </row>
    <row r="393" spans="1:45" ht="40.5" customHeight="1" x14ac:dyDescent="0.2">
      <c r="A393" s="19"/>
      <c r="B393" s="19"/>
      <c r="C393" s="15"/>
      <c r="D393" s="15"/>
      <c r="E393" s="13"/>
      <c r="F393" s="34" t="str" cm="1">
        <f t="array" ref="F393">IF($A393="","",GetMatchingValue($XFD$8,"Original","Control Number",F$2,$A393))</f>
        <v/>
      </c>
      <c r="G393" s="34" t="str" cm="1">
        <f t="array" ref="G393">IF($A393="","",GetMatchingValue($XFD$8,"Original","Control Number",G$2,$A393))</f>
        <v/>
      </c>
      <c r="H393" s="34" t="str" cm="1">
        <f t="array" ref="H393">IF($A393="","",GetMatchingValue($XFD$8,"Original","Control Number",H$2,$A393))</f>
        <v/>
      </c>
      <c r="I393" s="13"/>
      <c r="J393" s="13" t="str" cm="1">
        <f t="array" ref="J393">IF($A393="","",CheckControlNumberExists($XFD$9, "Original", $A393))</f>
        <v/>
      </c>
      <c r="K393" s="34" t="str" cm="1">
        <f t="array" ref="K393">IF($A393="","",IF($J393="No","",GetMatchingValue($XFD$9,"Original","Control Number",K$2,$A393)))</f>
        <v/>
      </c>
      <c r="L393" s="34" t="str" cm="1">
        <f t="array" ref="L393">IF($A393="","",IF($J393="No","",GetMatchingValue($XFD$9,"Original","Control Number",L$2,$A393)))</f>
        <v/>
      </c>
      <c r="M393" s="13" t="str">
        <f t="shared" ref="M393:M414" ca="1" si="8">IFERROR(INDEX(
    INDIRECT($XFD$7 &amp; ADDRESS(2, MATCH(M$2, INDIRECT($XFD$7 &amp; "1:1"), 0)) &amp; ":" &amp; ADDRESS(65536, MATCH(M$2, INDIRECT($XFD$7 &amp; "1:1"), 0))),
    MATCH($A393, INDIRECT($XFD$7 &amp; ADDRESS(2, MATCH("Control Number", INDIRECT($XFD$7 &amp; "1:1"), 0)) &amp; ":" &amp; ADDRESS(65536, MATCH("Control Number", INDIRECT($XFD$7 &amp; "1:1"), 0))), 0)
),"")</f>
        <v/>
      </c>
      <c r="N393" s="16"/>
      <c r="O393" s="34" t="str" cm="1">
        <f t="array" ref="O393">IF($A393="","",IF($J393="No","",GetMatchingValue($XFD$9,"Original","Control Number",O$2,$A393)))</f>
        <v/>
      </c>
      <c r="P393" s="34" t="str" cm="1">
        <f t="array" ref="P393">IF($A393="","",IF($J393="No","",GetMatchingValue($XFD$9,"Original","Control Number",P$2,$A393)))</f>
        <v/>
      </c>
      <c r="Q393" s="34" t="str" cm="1">
        <f t="array" ref="Q393">IF($A393="","",IF($J393="No","",GetMatchingValue($XFD$9,"Original","Control Number",Q$2,$A393)))</f>
        <v/>
      </c>
      <c r="R393" s="34" t="str" cm="1">
        <f t="array" ref="R393">IF($A393="","",IF($J393="No","",GetMatchingValue($XFD$9,"Original","Control Number",R$2,$A393)))</f>
        <v/>
      </c>
      <c r="S393" s="34" t="str" cm="1">
        <f t="array" ref="S393">IF($A393="","",IF($J393="No","",GetMatchingValue($XFD$9,"Original","Control Number",S$2,$A393)))</f>
        <v/>
      </c>
      <c r="T393" s="34" t="str" cm="1">
        <f t="array" ref="T393">IF($A393="","",IF($J393="No","",GetMatchingValue($XFD$9,"Original","Control Number",T$2,$A393)))</f>
        <v/>
      </c>
      <c r="U393" s="34" t="str" cm="1">
        <f t="array" ref="U393">IF($A393="","",IF($J393="No","",GetMatchingValue($XFD$9,"Original","Control Number",U$2,$A393)))</f>
        <v/>
      </c>
      <c r="V393" s="14"/>
      <c r="W393" s="17"/>
      <c r="X393" s="17"/>
      <c r="Y393" s="17"/>
      <c r="Z393" s="13"/>
      <c r="AA393" s="13"/>
      <c r="AB393" s="13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3"/>
    </row>
    <row r="394" spans="1:45" ht="40.5" customHeight="1" x14ac:dyDescent="0.2">
      <c r="A394" s="19"/>
      <c r="B394" s="19"/>
      <c r="C394" s="15"/>
      <c r="D394" s="15"/>
      <c r="E394" s="13"/>
      <c r="F394" s="34" t="str" cm="1">
        <f t="array" ref="F394">IF($A394="","",GetMatchingValue($XFD$8,"Original","Control Number",F$2,$A394))</f>
        <v/>
      </c>
      <c r="G394" s="34" t="str" cm="1">
        <f t="array" ref="G394">IF($A394="","",GetMatchingValue($XFD$8,"Original","Control Number",G$2,$A394))</f>
        <v/>
      </c>
      <c r="H394" s="34" t="str" cm="1">
        <f t="array" ref="H394">IF($A394="","",GetMatchingValue($XFD$8,"Original","Control Number",H$2,$A394))</f>
        <v/>
      </c>
      <c r="I394" s="13"/>
      <c r="J394" s="13" t="str" cm="1">
        <f t="array" ref="J394">IF($A394="","",CheckControlNumberExists($XFD$9, "Original", $A394))</f>
        <v/>
      </c>
      <c r="K394" s="34" t="str" cm="1">
        <f t="array" ref="K394">IF($A394="","",IF($J394="No","",GetMatchingValue($XFD$9,"Original","Control Number",K$2,$A394)))</f>
        <v/>
      </c>
      <c r="L394" s="34" t="str" cm="1">
        <f t="array" ref="L394">IF($A394="","",IF($J394="No","",GetMatchingValue($XFD$9,"Original","Control Number",L$2,$A394)))</f>
        <v/>
      </c>
      <c r="M394" s="13" t="str">
        <f t="shared" ca="1" si="8"/>
        <v/>
      </c>
      <c r="N394" s="16"/>
      <c r="O394" s="34" t="str" cm="1">
        <f t="array" ref="O394">IF($A394="","",IF($J394="No","",GetMatchingValue($XFD$9,"Original","Control Number",O$2,$A394)))</f>
        <v/>
      </c>
      <c r="P394" s="34" t="str" cm="1">
        <f t="array" ref="P394">IF($A394="","",IF($J394="No","",GetMatchingValue($XFD$9,"Original","Control Number",P$2,$A394)))</f>
        <v/>
      </c>
      <c r="Q394" s="34" t="str" cm="1">
        <f t="array" ref="Q394">IF($A394="","",IF($J394="No","",GetMatchingValue($XFD$9,"Original","Control Number",Q$2,$A394)))</f>
        <v/>
      </c>
      <c r="R394" s="34" t="str" cm="1">
        <f t="array" ref="R394">IF($A394="","",IF($J394="No","",GetMatchingValue($XFD$9,"Original","Control Number",R$2,$A394)))</f>
        <v/>
      </c>
      <c r="S394" s="34" t="str" cm="1">
        <f t="array" ref="S394">IF($A394="","",IF($J394="No","",GetMatchingValue($XFD$9,"Original","Control Number",S$2,$A394)))</f>
        <v/>
      </c>
      <c r="T394" s="34" t="str" cm="1">
        <f t="array" ref="T394">IF($A394="","",IF($J394="No","",GetMatchingValue($XFD$9,"Original","Control Number",T$2,$A394)))</f>
        <v/>
      </c>
      <c r="U394" s="34" t="str" cm="1">
        <f t="array" ref="U394">IF($A394="","",IF($J394="No","",GetMatchingValue($XFD$9,"Original","Control Number",U$2,$A394)))</f>
        <v/>
      </c>
      <c r="V394" s="14"/>
      <c r="W394" s="17"/>
      <c r="X394" s="17"/>
      <c r="Y394" s="17"/>
      <c r="Z394" s="13"/>
      <c r="AA394" s="13"/>
      <c r="AB394" s="13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3"/>
    </row>
    <row r="395" spans="1:45" ht="40.5" customHeight="1" x14ac:dyDescent="0.2">
      <c r="A395" s="19"/>
      <c r="B395" s="19"/>
      <c r="C395" s="15"/>
      <c r="D395" s="15"/>
      <c r="E395" s="13"/>
      <c r="F395" s="34" t="str" cm="1">
        <f t="array" ref="F395">IF($A395="","",GetMatchingValue($XFD$8,"Original","Control Number",F$2,$A395))</f>
        <v/>
      </c>
      <c r="G395" s="34" t="str" cm="1">
        <f t="array" ref="G395">IF($A395="","",GetMatchingValue($XFD$8,"Original","Control Number",G$2,$A395))</f>
        <v/>
      </c>
      <c r="H395" s="34" t="str" cm="1">
        <f t="array" ref="H395">IF($A395="","",GetMatchingValue($XFD$8,"Original","Control Number",H$2,$A395))</f>
        <v/>
      </c>
      <c r="I395" s="13"/>
      <c r="J395" s="13" t="str" cm="1">
        <f t="array" ref="J395">IF($A395="","",CheckControlNumberExists($XFD$9, "Original", $A395))</f>
        <v/>
      </c>
      <c r="K395" s="34" t="str" cm="1">
        <f t="array" ref="K395">IF($A395="","",IF($J395="No","",GetMatchingValue($XFD$9,"Original","Control Number",K$2,$A395)))</f>
        <v/>
      </c>
      <c r="L395" s="34" t="str" cm="1">
        <f t="array" ref="L395">IF($A395="","",IF($J395="No","",GetMatchingValue($XFD$9,"Original","Control Number",L$2,$A395)))</f>
        <v/>
      </c>
      <c r="M395" s="13" t="str">
        <f t="shared" ca="1" si="8"/>
        <v/>
      </c>
      <c r="N395" s="16"/>
      <c r="O395" s="34" t="str" cm="1">
        <f t="array" ref="O395">IF($A395="","",IF($J395="No","",GetMatchingValue($XFD$9,"Original","Control Number",O$2,$A395)))</f>
        <v/>
      </c>
      <c r="P395" s="34" t="str" cm="1">
        <f t="array" ref="P395">IF($A395="","",IF($J395="No","",GetMatchingValue($XFD$9,"Original","Control Number",P$2,$A395)))</f>
        <v/>
      </c>
      <c r="Q395" s="34" t="str" cm="1">
        <f t="array" ref="Q395">IF($A395="","",IF($J395="No","",GetMatchingValue($XFD$9,"Original","Control Number",Q$2,$A395)))</f>
        <v/>
      </c>
      <c r="R395" s="34" t="str" cm="1">
        <f t="array" ref="R395">IF($A395="","",IF($J395="No","",GetMatchingValue($XFD$9,"Original","Control Number",R$2,$A395)))</f>
        <v/>
      </c>
      <c r="S395" s="34" t="str" cm="1">
        <f t="array" ref="S395">IF($A395="","",IF($J395="No","",GetMatchingValue($XFD$9,"Original","Control Number",S$2,$A395)))</f>
        <v/>
      </c>
      <c r="T395" s="34" t="str" cm="1">
        <f t="array" ref="T395">IF($A395="","",IF($J395="No","",GetMatchingValue($XFD$9,"Original","Control Number",T$2,$A395)))</f>
        <v/>
      </c>
      <c r="U395" s="34" t="str" cm="1">
        <f t="array" ref="U395">IF($A395="","",IF($J395="No","",GetMatchingValue($XFD$9,"Original","Control Number",U$2,$A395)))</f>
        <v/>
      </c>
      <c r="V395" s="14"/>
      <c r="W395" s="17"/>
      <c r="X395" s="17"/>
      <c r="Y395" s="17"/>
      <c r="Z395" s="13"/>
      <c r="AA395" s="13"/>
      <c r="AB395" s="13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3"/>
    </row>
    <row r="396" spans="1:45" ht="40.5" customHeight="1" x14ac:dyDescent="0.2">
      <c r="A396" s="19"/>
      <c r="B396" s="19"/>
      <c r="C396" s="15"/>
      <c r="D396" s="15"/>
      <c r="E396" s="13"/>
      <c r="F396" s="34" t="str" cm="1">
        <f t="array" ref="F396">IF($A396="","",GetMatchingValue($XFD$8,"Original","Control Number",F$2,$A396))</f>
        <v/>
      </c>
      <c r="G396" s="34" t="str" cm="1">
        <f t="array" ref="G396">IF($A396="","",GetMatchingValue($XFD$8,"Original","Control Number",G$2,$A396))</f>
        <v/>
      </c>
      <c r="H396" s="34" t="str" cm="1">
        <f t="array" ref="H396">IF($A396="","",GetMatchingValue($XFD$8,"Original","Control Number",H$2,$A396))</f>
        <v/>
      </c>
      <c r="I396" s="13"/>
      <c r="J396" s="13" t="str" cm="1">
        <f t="array" ref="J396">IF($A396="","",CheckControlNumberExists($XFD$9, "Original", $A396))</f>
        <v/>
      </c>
      <c r="K396" s="34" t="str" cm="1">
        <f t="array" ref="K396">IF($A396="","",IF($J396="No","",GetMatchingValue($XFD$9,"Original","Control Number",K$2,$A396)))</f>
        <v/>
      </c>
      <c r="L396" s="34" t="str" cm="1">
        <f t="array" ref="L396">IF($A396="","",IF($J396="No","",GetMatchingValue($XFD$9,"Original","Control Number",L$2,$A396)))</f>
        <v/>
      </c>
      <c r="M396" s="13" t="str">
        <f t="shared" ca="1" si="8"/>
        <v/>
      </c>
      <c r="N396" s="16"/>
      <c r="O396" s="34" t="str" cm="1">
        <f t="array" ref="O396">IF($A396="","",IF($J396="No","",GetMatchingValue($XFD$9,"Original","Control Number",O$2,$A396)))</f>
        <v/>
      </c>
      <c r="P396" s="34" t="str" cm="1">
        <f t="array" ref="P396">IF($A396="","",IF($J396="No","",GetMatchingValue($XFD$9,"Original","Control Number",P$2,$A396)))</f>
        <v/>
      </c>
      <c r="Q396" s="34" t="str" cm="1">
        <f t="array" ref="Q396">IF($A396="","",IF($J396="No","",GetMatchingValue($XFD$9,"Original","Control Number",Q$2,$A396)))</f>
        <v/>
      </c>
      <c r="R396" s="34" t="str" cm="1">
        <f t="array" ref="R396">IF($A396="","",IF($J396="No","",GetMatchingValue($XFD$9,"Original","Control Number",R$2,$A396)))</f>
        <v/>
      </c>
      <c r="S396" s="34" t="str" cm="1">
        <f t="array" ref="S396">IF($A396="","",IF($J396="No","",GetMatchingValue($XFD$9,"Original","Control Number",S$2,$A396)))</f>
        <v/>
      </c>
      <c r="T396" s="34" t="str" cm="1">
        <f t="array" ref="T396">IF($A396="","",IF($J396="No","",GetMatchingValue($XFD$9,"Original","Control Number",T$2,$A396)))</f>
        <v/>
      </c>
      <c r="U396" s="34" t="str" cm="1">
        <f t="array" ref="U396">IF($A396="","",IF($J396="No","",GetMatchingValue($XFD$9,"Original","Control Number",U$2,$A396)))</f>
        <v/>
      </c>
      <c r="V396" s="14"/>
      <c r="W396" s="17"/>
      <c r="X396" s="17"/>
      <c r="Y396" s="17"/>
      <c r="Z396" s="13"/>
      <c r="AA396" s="13"/>
      <c r="AB396" s="13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3"/>
    </row>
    <row r="397" spans="1:45" ht="40.5" customHeight="1" x14ac:dyDescent="0.2">
      <c r="A397" s="19"/>
      <c r="B397" s="19"/>
      <c r="C397" s="15"/>
      <c r="D397" s="15"/>
      <c r="E397" s="13"/>
      <c r="F397" s="34" t="str" cm="1">
        <f t="array" ref="F397">IF($A397="","",GetMatchingValue($XFD$8,"Original","Control Number",F$2,$A397))</f>
        <v/>
      </c>
      <c r="G397" s="34" t="str" cm="1">
        <f t="array" ref="G397">IF($A397="","",GetMatchingValue($XFD$8,"Original","Control Number",G$2,$A397))</f>
        <v/>
      </c>
      <c r="H397" s="34" t="str" cm="1">
        <f t="array" ref="H397">IF($A397="","",GetMatchingValue($XFD$8,"Original","Control Number",H$2,$A397))</f>
        <v/>
      </c>
      <c r="I397" s="13"/>
      <c r="J397" s="13" t="str" cm="1">
        <f t="array" ref="J397">IF($A397="","",CheckControlNumberExists($XFD$9, "Original", $A397))</f>
        <v/>
      </c>
      <c r="K397" s="34" t="str" cm="1">
        <f t="array" ref="K397">IF($A397="","",IF($J397="No","",GetMatchingValue($XFD$9,"Original","Control Number",K$2,$A397)))</f>
        <v/>
      </c>
      <c r="L397" s="34" t="str" cm="1">
        <f t="array" ref="L397">IF($A397="","",IF($J397="No","",GetMatchingValue($XFD$9,"Original","Control Number",L$2,$A397)))</f>
        <v/>
      </c>
      <c r="M397" s="13" t="str">
        <f t="shared" ca="1" si="8"/>
        <v/>
      </c>
      <c r="N397" s="16"/>
      <c r="O397" s="34" t="str" cm="1">
        <f t="array" ref="O397">IF($A397="","",IF($J397="No","",GetMatchingValue($XFD$9,"Original","Control Number",O$2,$A397)))</f>
        <v/>
      </c>
      <c r="P397" s="34" t="str" cm="1">
        <f t="array" ref="P397">IF($A397="","",IF($J397="No","",GetMatchingValue($XFD$9,"Original","Control Number",P$2,$A397)))</f>
        <v/>
      </c>
      <c r="Q397" s="34" t="str" cm="1">
        <f t="array" ref="Q397">IF($A397="","",IF($J397="No","",GetMatchingValue($XFD$9,"Original","Control Number",Q$2,$A397)))</f>
        <v/>
      </c>
      <c r="R397" s="34" t="str" cm="1">
        <f t="array" ref="R397">IF($A397="","",IF($J397="No","",GetMatchingValue($XFD$9,"Original","Control Number",R$2,$A397)))</f>
        <v/>
      </c>
      <c r="S397" s="34" t="str" cm="1">
        <f t="array" ref="S397">IF($A397="","",IF($J397="No","",GetMatchingValue($XFD$9,"Original","Control Number",S$2,$A397)))</f>
        <v/>
      </c>
      <c r="T397" s="34" t="str" cm="1">
        <f t="array" ref="T397">IF($A397="","",IF($J397="No","",GetMatchingValue($XFD$9,"Original","Control Number",T$2,$A397)))</f>
        <v/>
      </c>
      <c r="U397" s="34" t="str" cm="1">
        <f t="array" ref="U397">IF($A397="","",IF($J397="No","",GetMatchingValue($XFD$9,"Original","Control Number",U$2,$A397)))</f>
        <v/>
      </c>
      <c r="V397" s="14"/>
      <c r="W397" s="17"/>
      <c r="X397" s="17"/>
      <c r="Y397" s="17"/>
      <c r="Z397" s="13"/>
      <c r="AA397" s="13"/>
      <c r="AB397" s="13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3"/>
    </row>
    <row r="398" spans="1:45" ht="40.5" customHeight="1" x14ac:dyDescent="0.2">
      <c r="A398" s="19"/>
      <c r="B398" s="19"/>
      <c r="C398" s="15"/>
      <c r="D398" s="15"/>
      <c r="E398" s="13"/>
      <c r="F398" s="34" t="str" cm="1">
        <f t="array" ref="F398">IF($A398="","",GetMatchingValue($XFD$8,"Original","Control Number",F$2,$A398))</f>
        <v/>
      </c>
      <c r="G398" s="34" t="str" cm="1">
        <f t="array" ref="G398">IF($A398="","",GetMatchingValue($XFD$8,"Original","Control Number",G$2,$A398))</f>
        <v/>
      </c>
      <c r="H398" s="34" t="str" cm="1">
        <f t="array" ref="H398">IF($A398="","",GetMatchingValue($XFD$8,"Original","Control Number",H$2,$A398))</f>
        <v/>
      </c>
      <c r="I398" s="13"/>
      <c r="J398" s="13" t="str" cm="1">
        <f t="array" ref="J398">IF($A398="","",CheckControlNumberExists($XFD$9, "Original", $A398))</f>
        <v/>
      </c>
      <c r="K398" s="34" t="str" cm="1">
        <f t="array" ref="K398">IF($A398="","",IF($J398="No","",GetMatchingValue($XFD$9,"Original","Control Number",K$2,$A398)))</f>
        <v/>
      </c>
      <c r="L398" s="34" t="str" cm="1">
        <f t="array" ref="L398">IF($A398="","",IF($J398="No","",GetMatchingValue($XFD$9,"Original","Control Number",L$2,$A398)))</f>
        <v/>
      </c>
      <c r="M398" s="13" t="str">
        <f t="shared" ca="1" si="8"/>
        <v/>
      </c>
      <c r="N398" s="16"/>
      <c r="O398" s="34" t="str" cm="1">
        <f t="array" ref="O398">IF($A398="","",IF($J398="No","",GetMatchingValue($XFD$9,"Original","Control Number",O$2,$A398)))</f>
        <v/>
      </c>
      <c r="P398" s="34" t="str" cm="1">
        <f t="array" ref="P398">IF($A398="","",IF($J398="No","",GetMatchingValue($XFD$9,"Original","Control Number",P$2,$A398)))</f>
        <v/>
      </c>
      <c r="Q398" s="34" t="str" cm="1">
        <f t="array" ref="Q398">IF($A398="","",IF($J398="No","",GetMatchingValue($XFD$9,"Original","Control Number",Q$2,$A398)))</f>
        <v/>
      </c>
      <c r="R398" s="34" t="str" cm="1">
        <f t="array" ref="R398">IF($A398="","",IF($J398="No","",GetMatchingValue($XFD$9,"Original","Control Number",R$2,$A398)))</f>
        <v/>
      </c>
      <c r="S398" s="34" t="str" cm="1">
        <f t="array" ref="S398">IF($A398="","",IF($J398="No","",GetMatchingValue($XFD$9,"Original","Control Number",S$2,$A398)))</f>
        <v/>
      </c>
      <c r="T398" s="34" t="str" cm="1">
        <f t="array" ref="T398">IF($A398="","",IF($J398="No","",GetMatchingValue($XFD$9,"Original","Control Number",T$2,$A398)))</f>
        <v/>
      </c>
      <c r="U398" s="34" t="str" cm="1">
        <f t="array" ref="U398">IF($A398="","",IF($J398="No","",GetMatchingValue($XFD$9,"Original","Control Number",U$2,$A398)))</f>
        <v/>
      </c>
      <c r="V398" s="14"/>
      <c r="W398" s="17"/>
      <c r="X398" s="17"/>
      <c r="Y398" s="17"/>
      <c r="Z398" s="13"/>
      <c r="AA398" s="13"/>
      <c r="AB398" s="13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3"/>
    </row>
    <row r="399" spans="1:45" ht="40.5" customHeight="1" x14ac:dyDescent="0.2">
      <c r="A399" s="19"/>
      <c r="B399" s="19"/>
      <c r="C399" s="15"/>
      <c r="D399" s="15"/>
      <c r="E399" s="13"/>
      <c r="F399" s="34" t="str" cm="1">
        <f t="array" ref="F399">IF($A399="","",GetMatchingValue($XFD$8,"Original","Control Number",F$2,$A399))</f>
        <v/>
      </c>
      <c r="G399" s="34" t="str" cm="1">
        <f t="array" ref="G399">IF($A399="","",GetMatchingValue($XFD$8,"Original","Control Number",G$2,$A399))</f>
        <v/>
      </c>
      <c r="H399" s="34" t="str" cm="1">
        <f t="array" ref="H399">IF($A399="","",GetMatchingValue($XFD$8,"Original","Control Number",H$2,$A399))</f>
        <v/>
      </c>
      <c r="I399" s="13"/>
      <c r="J399" s="13" t="str" cm="1">
        <f t="array" ref="J399">IF($A399="","",CheckControlNumberExists($XFD$9, "Original", $A399))</f>
        <v/>
      </c>
      <c r="K399" s="34" t="str" cm="1">
        <f t="array" ref="K399">IF($A399="","",IF($J399="No","",GetMatchingValue($XFD$9,"Original","Control Number",K$2,$A399)))</f>
        <v/>
      </c>
      <c r="L399" s="34" t="str" cm="1">
        <f t="array" ref="L399">IF($A399="","",IF($J399="No","",GetMatchingValue($XFD$9,"Original","Control Number",L$2,$A399)))</f>
        <v/>
      </c>
      <c r="M399" s="13" t="str">
        <f t="shared" ca="1" si="8"/>
        <v/>
      </c>
      <c r="N399" s="16"/>
      <c r="O399" s="34" t="str" cm="1">
        <f t="array" ref="O399">IF($A399="","",IF($J399="No","",GetMatchingValue($XFD$9,"Original","Control Number",O$2,$A399)))</f>
        <v/>
      </c>
      <c r="P399" s="34" t="str" cm="1">
        <f t="array" ref="P399">IF($A399="","",IF($J399="No","",GetMatchingValue($XFD$9,"Original","Control Number",P$2,$A399)))</f>
        <v/>
      </c>
      <c r="Q399" s="34" t="str" cm="1">
        <f t="array" ref="Q399">IF($A399="","",IF($J399="No","",GetMatchingValue($XFD$9,"Original","Control Number",Q$2,$A399)))</f>
        <v/>
      </c>
      <c r="R399" s="34" t="str" cm="1">
        <f t="array" ref="R399">IF($A399="","",IF($J399="No","",GetMatchingValue($XFD$9,"Original","Control Number",R$2,$A399)))</f>
        <v/>
      </c>
      <c r="S399" s="34" t="str" cm="1">
        <f t="array" ref="S399">IF($A399="","",IF($J399="No","",GetMatchingValue($XFD$9,"Original","Control Number",S$2,$A399)))</f>
        <v/>
      </c>
      <c r="T399" s="34" t="str" cm="1">
        <f t="array" ref="T399">IF($A399="","",IF($J399="No","",GetMatchingValue($XFD$9,"Original","Control Number",T$2,$A399)))</f>
        <v/>
      </c>
      <c r="U399" s="34" t="str" cm="1">
        <f t="array" ref="U399">IF($A399="","",IF($J399="No","",GetMatchingValue($XFD$9,"Original","Control Number",U$2,$A399)))</f>
        <v/>
      </c>
      <c r="V399" s="14"/>
      <c r="W399" s="17"/>
      <c r="X399" s="17"/>
      <c r="Y399" s="17"/>
      <c r="Z399" s="13"/>
      <c r="AA399" s="13"/>
      <c r="AB399" s="13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3"/>
    </row>
    <row r="400" spans="1:45" ht="40.5" customHeight="1" x14ac:dyDescent="0.2">
      <c r="A400" s="19"/>
      <c r="B400" s="19"/>
      <c r="C400" s="15"/>
      <c r="D400" s="15"/>
      <c r="E400" s="13"/>
      <c r="F400" s="34" t="str" cm="1">
        <f t="array" ref="F400">IF($A400="","",GetMatchingValue($XFD$8,"Original","Control Number",F$2,$A400))</f>
        <v/>
      </c>
      <c r="G400" s="34" t="str" cm="1">
        <f t="array" ref="G400">IF($A400="","",GetMatchingValue($XFD$8,"Original","Control Number",G$2,$A400))</f>
        <v/>
      </c>
      <c r="H400" s="34" t="str" cm="1">
        <f t="array" ref="H400">IF($A400="","",GetMatchingValue($XFD$8,"Original","Control Number",H$2,$A400))</f>
        <v/>
      </c>
      <c r="I400" s="13"/>
      <c r="J400" s="13" t="str" cm="1">
        <f t="array" ref="J400">IF($A400="","",CheckControlNumberExists($XFD$9, "Original", $A400))</f>
        <v/>
      </c>
      <c r="K400" s="34" t="str" cm="1">
        <f t="array" ref="K400">IF($A400="","",IF($J400="No","",GetMatchingValue($XFD$9,"Original","Control Number",K$2,$A400)))</f>
        <v/>
      </c>
      <c r="L400" s="34" t="str" cm="1">
        <f t="array" ref="L400">IF($A400="","",IF($J400="No","",GetMatchingValue($XFD$9,"Original","Control Number",L$2,$A400)))</f>
        <v/>
      </c>
      <c r="M400" s="13" t="str">
        <f t="shared" ca="1" si="8"/>
        <v/>
      </c>
      <c r="N400" s="16"/>
      <c r="O400" s="34" t="str" cm="1">
        <f t="array" ref="O400">IF($A400="","",IF($J400="No","",GetMatchingValue($XFD$9,"Original","Control Number",O$2,$A400)))</f>
        <v/>
      </c>
      <c r="P400" s="34" t="str" cm="1">
        <f t="array" ref="P400">IF($A400="","",IF($J400="No","",GetMatchingValue($XFD$9,"Original","Control Number",P$2,$A400)))</f>
        <v/>
      </c>
      <c r="Q400" s="34" t="str" cm="1">
        <f t="array" ref="Q400">IF($A400="","",IF($J400="No","",GetMatchingValue($XFD$9,"Original","Control Number",Q$2,$A400)))</f>
        <v/>
      </c>
      <c r="R400" s="34" t="str" cm="1">
        <f t="array" ref="R400">IF($A400="","",IF($J400="No","",GetMatchingValue($XFD$9,"Original","Control Number",R$2,$A400)))</f>
        <v/>
      </c>
      <c r="S400" s="34" t="str" cm="1">
        <f t="array" ref="S400">IF($A400="","",IF($J400="No","",GetMatchingValue($XFD$9,"Original","Control Number",S$2,$A400)))</f>
        <v/>
      </c>
      <c r="T400" s="34" t="str" cm="1">
        <f t="array" ref="T400">IF($A400="","",IF($J400="No","",GetMatchingValue($XFD$9,"Original","Control Number",T$2,$A400)))</f>
        <v/>
      </c>
      <c r="U400" s="34" t="str" cm="1">
        <f t="array" ref="U400">IF($A400="","",IF($J400="No","",GetMatchingValue($XFD$9,"Original","Control Number",U$2,$A400)))</f>
        <v/>
      </c>
      <c r="V400" s="14"/>
      <c r="W400" s="17"/>
      <c r="X400" s="17"/>
      <c r="Y400" s="17"/>
      <c r="Z400" s="13"/>
      <c r="AA400" s="13"/>
      <c r="AB400" s="13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3"/>
    </row>
    <row r="401" spans="1:45" ht="40.5" customHeight="1" x14ac:dyDescent="0.2">
      <c r="A401" s="19"/>
      <c r="B401" s="19"/>
      <c r="C401" s="15"/>
      <c r="D401" s="15"/>
      <c r="E401" s="13"/>
      <c r="F401" s="34" t="str" cm="1">
        <f t="array" ref="F401">IF($A401="","",GetMatchingValue($XFD$8,"Original","Control Number",F$2,$A401))</f>
        <v/>
      </c>
      <c r="G401" s="34" t="str" cm="1">
        <f t="array" ref="G401">IF($A401="","",GetMatchingValue($XFD$8,"Original","Control Number",G$2,$A401))</f>
        <v/>
      </c>
      <c r="H401" s="34" t="str" cm="1">
        <f t="array" ref="H401">IF($A401="","",GetMatchingValue($XFD$8,"Original","Control Number",H$2,$A401))</f>
        <v/>
      </c>
      <c r="I401" s="13"/>
      <c r="J401" s="13" t="str" cm="1">
        <f t="array" ref="J401">IF($A401="","",CheckControlNumberExists($XFD$9, "Original", $A401))</f>
        <v/>
      </c>
      <c r="K401" s="34" t="str" cm="1">
        <f t="array" ref="K401">IF($A401="","",IF($J401="No","",GetMatchingValue($XFD$9,"Original","Control Number",K$2,$A401)))</f>
        <v/>
      </c>
      <c r="L401" s="34" t="str" cm="1">
        <f t="array" ref="L401">IF($A401="","",IF($J401="No","",GetMatchingValue($XFD$9,"Original","Control Number",L$2,$A401)))</f>
        <v/>
      </c>
      <c r="M401" s="13" t="str">
        <f t="shared" ca="1" si="8"/>
        <v/>
      </c>
      <c r="N401" s="16"/>
      <c r="O401" s="34" t="str" cm="1">
        <f t="array" ref="O401">IF($A401="","",IF($J401="No","",GetMatchingValue($XFD$9,"Original","Control Number",O$2,$A401)))</f>
        <v/>
      </c>
      <c r="P401" s="34" t="str" cm="1">
        <f t="array" ref="P401">IF($A401="","",IF($J401="No","",GetMatchingValue($XFD$9,"Original","Control Number",P$2,$A401)))</f>
        <v/>
      </c>
      <c r="Q401" s="34" t="str" cm="1">
        <f t="array" ref="Q401">IF($A401="","",IF($J401="No","",GetMatchingValue($XFD$9,"Original","Control Number",Q$2,$A401)))</f>
        <v/>
      </c>
      <c r="R401" s="34" t="str" cm="1">
        <f t="array" ref="R401">IF($A401="","",IF($J401="No","",GetMatchingValue($XFD$9,"Original","Control Number",R$2,$A401)))</f>
        <v/>
      </c>
      <c r="S401" s="34" t="str" cm="1">
        <f t="array" ref="S401">IF($A401="","",IF($J401="No","",GetMatchingValue($XFD$9,"Original","Control Number",S$2,$A401)))</f>
        <v/>
      </c>
      <c r="T401" s="34" t="str" cm="1">
        <f t="array" ref="T401">IF($A401="","",IF($J401="No","",GetMatchingValue($XFD$9,"Original","Control Number",T$2,$A401)))</f>
        <v/>
      </c>
      <c r="U401" s="34" t="str" cm="1">
        <f t="array" ref="U401">IF($A401="","",IF($J401="No","",GetMatchingValue($XFD$9,"Original","Control Number",U$2,$A401)))</f>
        <v/>
      </c>
      <c r="V401" s="14"/>
      <c r="W401" s="17"/>
      <c r="X401" s="17"/>
      <c r="Y401" s="17"/>
      <c r="Z401" s="13"/>
      <c r="AA401" s="13"/>
      <c r="AB401" s="13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3"/>
    </row>
    <row r="402" spans="1:45" ht="40.5" customHeight="1" x14ac:dyDescent="0.2">
      <c r="A402" s="19"/>
      <c r="B402" s="19"/>
      <c r="C402" s="15"/>
      <c r="D402" s="15"/>
      <c r="E402" s="13"/>
      <c r="F402" s="34" t="str" cm="1">
        <f t="array" ref="F402">IF($A402="","",GetMatchingValue($XFD$8,"Original","Control Number",F$2,$A402))</f>
        <v/>
      </c>
      <c r="G402" s="34" t="str" cm="1">
        <f t="array" ref="G402">IF($A402="","",GetMatchingValue($XFD$8,"Original","Control Number",G$2,$A402))</f>
        <v/>
      </c>
      <c r="H402" s="34" t="str" cm="1">
        <f t="array" ref="H402">IF($A402="","",GetMatchingValue($XFD$8,"Original","Control Number",H$2,$A402))</f>
        <v/>
      </c>
      <c r="I402" s="13"/>
      <c r="J402" s="13" t="str" cm="1">
        <f t="array" ref="J402">IF($A402="","",CheckControlNumberExists($XFD$9, "Original", $A402))</f>
        <v/>
      </c>
      <c r="K402" s="34" t="str" cm="1">
        <f t="array" ref="K402">IF($A402="","",IF($J402="No","",GetMatchingValue($XFD$9,"Original","Control Number",K$2,$A402)))</f>
        <v/>
      </c>
      <c r="L402" s="34" t="str" cm="1">
        <f t="array" ref="L402">IF($A402="","",IF($J402="No","",GetMatchingValue($XFD$9,"Original","Control Number",L$2,$A402)))</f>
        <v/>
      </c>
      <c r="M402" s="13" t="str">
        <f t="shared" ca="1" si="8"/>
        <v/>
      </c>
      <c r="N402" s="16"/>
      <c r="O402" s="34" t="str" cm="1">
        <f t="array" ref="O402">IF($A402="","",IF($J402="No","",GetMatchingValue($XFD$9,"Original","Control Number",O$2,$A402)))</f>
        <v/>
      </c>
      <c r="P402" s="34" t="str" cm="1">
        <f t="array" ref="P402">IF($A402="","",IF($J402="No","",GetMatchingValue($XFD$9,"Original","Control Number",P$2,$A402)))</f>
        <v/>
      </c>
      <c r="Q402" s="34" t="str" cm="1">
        <f t="array" ref="Q402">IF($A402="","",IF($J402="No","",GetMatchingValue($XFD$9,"Original","Control Number",Q$2,$A402)))</f>
        <v/>
      </c>
      <c r="R402" s="34" t="str" cm="1">
        <f t="array" ref="R402">IF($A402="","",IF($J402="No","",GetMatchingValue($XFD$9,"Original","Control Number",R$2,$A402)))</f>
        <v/>
      </c>
      <c r="S402" s="34" t="str" cm="1">
        <f t="array" ref="S402">IF($A402="","",IF($J402="No","",GetMatchingValue($XFD$9,"Original","Control Number",S$2,$A402)))</f>
        <v/>
      </c>
      <c r="T402" s="34" t="str" cm="1">
        <f t="array" ref="T402">IF($A402="","",IF($J402="No","",GetMatchingValue($XFD$9,"Original","Control Number",T$2,$A402)))</f>
        <v/>
      </c>
      <c r="U402" s="34" t="str" cm="1">
        <f t="array" ref="U402">IF($A402="","",IF($J402="No","",GetMatchingValue($XFD$9,"Original","Control Number",U$2,$A402)))</f>
        <v/>
      </c>
      <c r="V402" s="14"/>
      <c r="W402" s="17"/>
      <c r="X402" s="17"/>
      <c r="Y402" s="17"/>
      <c r="Z402" s="13"/>
      <c r="AA402" s="13"/>
      <c r="AB402" s="13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3"/>
    </row>
    <row r="403" spans="1:45" ht="40.5" customHeight="1" x14ac:dyDescent="0.2">
      <c r="A403" s="19"/>
      <c r="B403" s="19"/>
      <c r="C403" s="15"/>
      <c r="D403" s="15"/>
      <c r="E403" s="13"/>
      <c r="F403" s="34" t="str" cm="1">
        <f t="array" ref="F403">IF($A403="","",GetMatchingValue($XFD$8,"Original","Control Number",F$2,$A403))</f>
        <v/>
      </c>
      <c r="G403" s="34" t="str" cm="1">
        <f t="array" ref="G403">IF($A403="","",GetMatchingValue($XFD$8,"Original","Control Number",G$2,$A403))</f>
        <v/>
      </c>
      <c r="H403" s="34" t="str" cm="1">
        <f t="array" ref="H403">IF($A403="","",GetMatchingValue($XFD$8,"Original","Control Number",H$2,$A403))</f>
        <v/>
      </c>
      <c r="I403" s="13"/>
      <c r="J403" s="13" t="str" cm="1">
        <f t="array" ref="J403">IF($A403="","",CheckControlNumberExists($XFD$9, "Original", $A403))</f>
        <v/>
      </c>
      <c r="K403" s="34" t="str" cm="1">
        <f t="array" ref="K403">IF($A403="","",IF($J403="No","",GetMatchingValue($XFD$9,"Original","Control Number",K$2,$A403)))</f>
        <v/>
      </c>
      <c r="L403" s="34" t="str" cm="1">
        <f t="array" ref="L403">IF($A403="","",IF($J403="No","",GetMatchingValue($XFD$9,"Original","Control Number",L$2,$A403)))</f>
        <v/>
      </c>
      <c r="M403" s="13" t="str">
        <f t="shared" ca="1" si="8"/>
        <v/>
      </c>
      <c r="N403" s="16"/>
      <c r="O403" s="34" t="str" cm="1">
        <f t="array" ref="O403">IF($A403="","",IF($J403="No","",GetMatchingValue($XFD$9,"Original","Control Number",O$2,$A403)))</f>
        <v/>
      </c>
      <c r="P403" s="34" t="str" cm="1">
        <f t="array" ref="P403">IF($A403="","",IF($J403="No","",GetMatchingValue($XFD$9,"Original","Control Number",P$2,$A403)))</f>
        <v/>
      </c>
      <c r="Q403" s="34" t="str" cm="1">
        <f t="array" ref="Q403">IF($A403="","",IF($J403="No","",GetMatchingValue($XFD$9,"Original","Control Number",Q$2,$A403)))</f>
        <v/>
      </c>
      <c r="R403" s="34" t="str" cm="1">
        <f t="array" ref="R403">IF($A403="","",IF($J403="No","",GetMatchingValue($XFD$9,"Original","Control Number",R$2,$A403)))</f>
        <v/>
      </c>
      <c r="S403" s="34" t="str" cm="1">
        <f t="array" ref="S403">IF($A403="","",IF($J403="No","",GetMatchingValue($XFD$9,"Original","Control Number",S$2,$A403)))</f>
        <v/>
      </c>
      <c r="T403" s="34" t="str" cm="1">
        <f t="array" ref="T403">IF($A403="","",IF($J403="No","",GetMatchingValue($XFD$9,"Original","Control Number",T$2,$A403)))</f>
        <v/>
      </c>
      <c r="U403" s="34" t="str" cm="1">
        <f t="array" ref="U403">IF($A403="","",IF($J403="No","",GetMatchingValue($XFD$9,"Original","Control Number",U$2,$A403)))</f>
        <v/>
      </c>
      <c r="V403" s="14"/>
      <c r="W403" s="17"/>
      <c r="X403" s="17"/>
      <c r="Y403" s="17"/>
      <c r="Z403" s="13"/>
      <c r="AA403" s="13"/>
      <c r="AB403" s="13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3"/>
    </row>
    <row r="404" spans="1:45" ht="40.5" customHeight="1" x14ac:dyDescent="0.2">
      <c r="A404" s="19"/>
      <c r="B404" s="19"/>
      <c r="C404" s="15"/>
      <c r="D404" s="15"/>
      <c r="E404" s="13"/>
      <c r="F404" s="34" t="str" cm="1">
        <f t="array" ref="F404">IF($A404="","",GetMatchingValue($XFD$8,"Original","Control Number",F$2,$A404))</f>
        <v/>
      </c>
      <c r="G404" s="34" t="str" cm="1">
        <f t="array" ref="G404">IF($A404="","",GetMatchingValue($XFD$8,"Original","Control Number",G$2,$A404))</f>
        <v/>
      </c>
      <c r="H404" s="34" t="str" cm="1">
        <f t="array" ref="H404">IF($A404="","",GetMatchingValue($XFD$8,"Original","Control Number",H$2,$A404))</f>
        <v/>
      </c>
      <c r="I404" s="13"/>
      <c r="J404" s="13" t="str" cm="1">
        <f t="array" ref="J404">IF($A404="","",CheckControlNumberExists($XFD$9, "Original", $A404))</f>
        <v/>
      </c>
      <c r="K404" s="34" t="str" cm="1">
        <f t="array" ref="K404">IF($A404="","",IF($J404="No","",GetMatchingValue($XFD$9,"Original","Control Number",K$2,$A404)))</f>
        <v/>
      </c>
      <c r="L404" s="34" t="str" cm="1">
        <f t="array" ref="L404">IF($A404="","",IF($J404="No","",GetMatchingValue($XFD$9,"Original","Control Number",L$2,$A404)))</f>
        <v/>
      </c>
      <c r="M404" s="13" t="str">
        <f t="shared" ca="1" si="8"/>
        <v/>
      </c>
      <c r="N404" s="16"/>
      <c r="O404" s="34" t="str" cm="1">
        <f t="array" ref="O404">IF($A404="","",IF($J404="No","",GetMatchingValue($XFD$9,"Original","Control Number",O$2,$A404)))</f>
        <v/>
      </c>
      <c r="P404" s="34" t="str" cm="1">
        <f t="array" ref="P404">IF($A404="","",IF($J404="No","",GetMatchingValue($XFD$9,"Original","Control Number",P$2,$A404)))</f>
        <v/>
      </c>
      <c r="Q404" s="34" t="str" cm="1">
        <f t="array" ref="Q404">IF($A404="","",IF($J404="No","",GetMatchingValue($XFD$9,"Original","Control Number",Q$2,$A404)))</f>
        <v/>
      </c>
      <c r="R404" s="34" t="str" cm="1">
        <f t="array" ref="R404">IF($A404="","",IF($J404="No","",GetMatchingValue($XFD$9,"Original","Control Number",R$2,$A404)))</f>
        <v/>
      </c>
      <c r="S404" s="34" t="str" cm="1">
        <f t="array" ref="S404">IF($A404="","",IF($J404="No","",GetMatchingValue($XFD$9,"Original","Control Number",S$2,$A404)))</f>
        <v/>
      </c>
      <c r="T404" s="34" t="str" cm="1">
        <f t="array" ref="T404">IF($A404="","",IF($J404="No","",GetMatchingValue($XFD$9,"Original","Control Number",T$2,$A404)))</f>
        <v/>
      </c>
      <c r="U404" s="34" t="str" cm="1">
        <f t="array" ref="U404">IF($A404="","",IF($J404="No","",GetMatchingValue($XFD$9,"Original","Control Number",U$2,$A404)))</f>
        <v/>
      </c>
      <c r="V404" s="14"/>
      <c r="W404" s="17"/>
      <c r="X404" s="17"/>
      <c r="Y404" s="17"/>
      <c r="Z404" s="13"/>
      <c r="AA404" s="13"/>
      <c r="AB404" s="13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3"/>
    </row>
    <row r="405" spans="1:45" ht="40.5" customHeight="1" x14ac:dyDescent="0.2">
      <c r="A405" s="19"/>
      <c r="B405" s="19"/>
      <c r="C405" s="15"/>
      <c r="D405" s="15"/>
      <c r="E405" s="13"/>
      <c r="F405" s="34" t="str" cm="1">
        <f t="array" ref="F405">IF($A405="","",GetMatchingValue($XFD$8,"Original","Control Number",F$2,$A405))</f>
        <v/>
      </c>
      <c r="G405" s="34" t="str" cm="1">
        <f t="array" ref="G405">IF($A405="","",GetMatchingValue($XFD$8,"Original","Control Number",G$2,$A405))</f>
        <v/>
      </c>
      <c r="H405" s="34" t="str" cm="1">
        <f t="array" ref="H405">IF($A405="","",GetMatchingValue($XFD$8,"Original","Control Number",H$2,$A405))</f>
        <v/>
      </c>
      <c r="I405" s="13"/>
      <c r="J405" s="13" t="str" cm="1">
        <f t="array" ref="J405">IF($A405="","",CheckControlNumberExists($XFD$9, "Original", $A405))</f>
        <v/>
      </c>
      <c r="K405" s="34" t="str" cm="1">
        <f t="array" ref="K405">IF($A405="","",IF($J405="No","",GetMatchingValue($XFD$9,"Original","Control Number",K$2,$A405)))</f>
        <v/>
      </c>
      <c r="L405" s="34" t="str" cm="1">
        <f t="array" ref="L405">IF($A405="","",IF($J405="No","",GetMatchingValue($XFD$9,"Original","Control Number",L$2,$A405)))</f>
        <v/>
      </c>
      <c r="M405" s="13" t="str">
        <f t="shared" ca="1" si="8"/>
        <v/>
      </c>
      <c r="N405" s="16"/>
      <c r="O405" s="34" t="str" cm="1">
        <f t="array" ref="O405">IF($A405="","",IF($J405="No","",GetMatchingValue($XFD$9,"Original","Control Number",O$2,$A405)))</f>
        <v/>
      </c>
      <c r="P405" s="34" t="str" cm="1">
        <f t="array" ref="P405">IF($A405="","",IF($J405="No","",GetMatchingValue($XFD$9,"Original","Control Number",P$2,$A405)))</f>
        <v/>
      </c>
      <c r="Q405" s="34" t="str" cm="1">
        <f t="array" ref="Q405">IF($A405="","",IF($J405="No","",GetMatchingValue($XFD$9,"Original","Control Number",Q$2,$A405)))</f>
        <v/>
      </c>
      <c r="R405" s="34" t="str" cm="1">
        <f t="array" ref="R405">IF($A405="","",IF($J405="No","",GetMatchingValue($XFD$9,"Original","Control Number",R$2,$A405)))</f>
        <v/>
      </c>
      <c r="S405" s="34" t="str" cm="1">
        <f t="array" ref="S405">IF($A405="","",IF($J405="No","",GetMatchingValue($XFD$9,"Original","Control Number",S$2,$A405)))</f>
        <v/>
      </c>
      <c r="T405" s="34" t="str" cm="1">
        <f t="array" ref="T405">IF($A405="","",IF($J405="No","",GetMatchingValue($XFD$9,"Original","Control Number",T$2,$A405)))</f>
        <v/>
      </c>
      <c r="U405" s="34" t="str" cm="1">
        <f t="array" ref="U405">IF($A405="","",IF($J405="No","",GetMatchingValue($XFD$9,"Original","Control Number",U$2,$A405)))</f>
        <v/>
      </c>
      <c r="V405" s="14"/>
      <c r="W405" s="17"/>
      <c r="X405" s="17"/>
      <c r="Y405" s="17"/>
      <c r="Z405" s="13"/>
      <c r="AA405" s="13"/>
      <c r="AB405" s="13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3"/>
    </row>
    <row r="406" spans="1:45" ht="40.5" customHeight="1" x14ac:dyDescent="0.2">
      <c r="A406" s="19"/>
      <c r="B406" s="19"/>
      <c r="C406" s="15"/>
      <c r="D406" s="15"/>
      <c r="E406" s="13"/>
      <c r="F406" s="34" t="str" cm="1">
        <f t="array" ref="F406">IF($A406="","",GetMatchingValue($XFD$8,"Original","Control Number",F$2,$A406))</f>
        <v/>
      </c>
      <c r="G406" s="34" t="str" cm="1">
        <f t="array" ref="G406">IF($A406="","",GetMatchingValue($XFD$8,"Original","Control Number",G$2,$A406))</f>
        <v/>
      </c>
      <c r="H406" s="34" t="str" cm="1">
        <f t="array" ref="H406">IF($A406="","",GetMatchingValue($XFD$8,"Original","Control Number",H$2,$A406))</f>
        <v/>
      </c>
      <c r="I406" s="13"/>
      <c r="J406" s="13" t="str" cm="1">
        <f t="array" ref="J406">IF($A406="","",CheckControlNumberExists($XFD$9, "Original", $A406))</f>
        <v/>
      </c>
      <c r="K406" s="34" t="str" cm="1">
        <f t="array" ref="K406">IF($A406="","",IF($J406="No","",GetMatchingValue($XFD$9,"Original","Control Number",K$2,$A406)))</f>
        <v/>
      </c>
      <c r="L406" s="34" t="str" cm="1">
        <f t="array" ref="L406">IF($A406="","",IF($J406="No","",GetMatchingValue($XFD$9,"Original","Control Number",L$2,$A406)))</f>
        <v/>
      </c>
      <c r="M406" s="13" t="str">
        <f t="shared" ca="1" si="8"/>
        <v/>
      </c>
      <c r="N406" s="16"/>
      <c r="O406" s="34" t="str" cm="1">
        <f t="array" ref="O406">IF($A406="","",IF($J406="No","",GetMatchingValue($XFD$9,"Original","Control Number",O$2,$A406)))</f>
        <v/>
      </c>
      <c r="P406" s="34" t="str" cm="1">
        <f t="array" ref="P406">IF($A406="","",IF($J406="No","",GetMatchingValue($XFD$9,"Original","Control Number",P$2,$A406)))</f>
        <v/>
      </c>
      <c r="Q406" s="34" t="str" cm="1">
        <f t="array" ref="Q406">IF($A406="","",IF($J406="No","",GetMatchingValue($XFD$9,"Original","Control Number",Q$2,$A406)))</f>
        <v/>
      </c>
      <c r="R406" s="34" t="str" cm="1">
        <f t="array" ref="R406">IF($A406="","",IF($J406="No","",GetMatchingValue($XFD$9,"Original","Control Number",R$2,$A406)))</f>
        <v/>
      </c>
      <c r="S406" s="34" t="str" cm="1">
        <f t="array" ref="S406">IF($A406="","",IF($J406="No","",GetMatchingValue($XFD$9,"Original","Control Number",S$2,$A406)))</f>
        <v/>
      </c>
      <c r="T406" s="34" t="str" cm="1">
        <f t="array" ref="T406">IF($A406="","",IF($J406="No","",GetMatchingValue($XFD$9,"Original","Control Number",T$2,$A406)))</f>
        <v/>
      </c>
      <c r="U406" s="34" t="str" cm="1">
        <f t="array" ref="U406">IF($A406="","",IF($J406="No","",GetMatchingValue($XFD$9,"Original","Control Number",U$2,$A406)))</f>
        <v/>
      </c>
      <c r="V406" s="14"/>
      <c r="W406" s="17"/>
      <c r="X406" s="17"/>
      <c r="Y406" s="17"/>
      <c r="Z406" s="13"/>
      <c r="AA406" s="13"/>
      <c r="AB406" s="13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3"/>
    </row>
    <row r="407" spans="1:45" ht="40.5" customHeight="1" x14ac:dyDescent="0.2">
      <c r="A407" s="19"/>
      <c r="B407" s="19"/>
      <c r="C407" s="15"/>
      <c r="D407" s="15"/>
      <c r="E407" s="13"/>
      <c r="F407" s="34" t="str" cm="1">
        <f t="array" ref="F407">IF($A407="","",GetMatchingValue($XFD$8,"Original","Control Number",F$2,$A407))</f>
        <v/>
      </c>
      <c r="G407" s="34" t="str" cm="1">
        <f t="array" ref="G407">IF($A407="","",GetMatchingValue($XFD$8,"Original","Control Number",G$2,$A407))</f>
        <v/>
      </c>
      <c r="H407" s="34" t="str" cm="1">
        <f t="array" ref="H407">IF($A407="","",GetMatchingValue($XFD$8,"Original","Control Number",H$2,$A407))</f>
        <v/>
      </c>
      <c r="I407" s="13"/>
      <c r="J407" s="13" t="str" cm="1">
        <f t="array" ref="J407">IF($A407="","",CheckControlNumberExists($XFD$9, "Original", $A407))</f>
        <v/>
      </c>
      <c r="K407" s="34" t="str" cm="1">
        <f t="array" ref="K407">IF($A407="","",IF($J407="No","",GetMatchingValue($XFD$9,"Original","Control Number",K$2,$A407)))</f>
        <v/>
      </c>
      <c r="L407" s="34" t="str" cm="1">
        <f t="array" ref="L407">IF($A407="","",IF($J407="No","",GetMatchingValue($XFD$9,"Original","Control Number",L$2,$A407)))</f>
        <v/>
      </c>
      <c r="M407" s="13" t="str">
        <f t="shared" ca="1" si="8"/>
        <v/>
      </c>
      <c r="N407" s="16"/>
      <c r="O407" s="34" t="str" cm="1">
        <f t="array" ref="O407">IF($A407="","",IF($J407="No","",GetMatchingValue($XFD$9,"Original","Control Number",O$2,$A407)))</f>
        <v/>
      </c>
      <c r="P407" s="34" t="str" cm="1">
        <f t="array" ref="P407">IF($A407="","",IF($J407="No","",GetMatchingValue($XFD$9,"Original","Control Number",P$2,$A407)))</f>
        <v/>
      </c>
      <c r="Q407" s="34" t="str" cm="1">
        <f t="array" ref="Q407">IF($A407="","",IF($J407="No","",GetMatchingValue($XFD$9,"Original","Control Number",Q$2,$A407)))</f>
        <v/>
      </c>
      <c r="R407" s="34" t="str" cm="1">
        <f t="array" ref="R407">IF($A407="","",IF($J407="No","",GetMatchingValue($XFD$9,"Original","Control Number",R$2,$A407)))</f>
        <v/>
      </c>
      <c r="S407" s="34" t="str" cm="1">
        <f t="array" ref="S407">IF($A407="","",IF($J407="No","",GetMatchingValue($XFD$9,"Original","Control Number",S$2,$A407)))</f>
        <v/>
      </c>
      <c r="T407" s="34" t="str" cm="1">
        <f t="array" ref="T407">IF($A407="","",IF($J407="No","",GetMatchingValue($XFD$9,"Original","Control Number",T$2,$A407)))</f>
        <v/>
      </c>
      <c r="U407" s="34" t="str" cm="1">
        <f t="array" ref="U407">IF($A407="","",IF($J407="No","",GetMatchingValue($XFD$9,"Original","Control Number",U$2,$A407)))</f>
        <v/>
      </c>
      <c r="V407" s="14"/>
      <c r="W407" s="17"/>
      <c r="X407" s="17"/>
      <c r="Y407" s="17"/>
      <c r="Z407" s="13"/>
      <c r="AA407" s="13"/>
      <c r="AB407" s="13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3"/>
    </row>
    <row r="408" spans="1:45" ht="40.5" customHeight="1" x14ac:dyDescent="0.2">
      <c r="A408" s="19"/>
      <c r="B408" s="19"/>
      <c r="C408" s="15"/>
      <c r="D408" s="15"/>
      <c r="E408" s="13"/>
      <c r="F408" s="34" t="str" cm="1">
        <f t="array" ref="F408">IF($A408="","",GetMatchingValue($XFD$8,"Original","Control Number",F$2,$A408))</f>
        <v/>
      </c>
      <c r="G408" s="34" t="str" cm="1">
        <f t="array" ref="G408">IF($A408="","",GetMatchingValue($XFD$8,"Original","Control Number",G$2,$A408))</f>
        <v/>
      </c>
      <c r="H408" s="34" t="str" cm="1">
        <f t="array" ref="H408">IF($A408="","",GetMatchingValue($XFD$8,"Original","Control Number",H$2,$A408))</f>
        <v/>
      </c>
      <c r="I408" s="13"/>
      <c r="J408" s="13" t="str" cm="1">
        <f t="array" ref="J408">IF($A408="","",CheckControlNumberExists($XFD$9, "Original", $A408))</f>
        <v/>
      </c>
      <c r="K408" s="34" t="str" cm="1">
        <f t="array" ref="K408">IF($A408="","",IF($J408="No","",GetMatchingValue($XFD$9,"Original","Control Number",K$2,$A408)))</f>
        <v/>
      </c>
      <c r="L408" s="34" t="str" cm="1">
        <f t="array" ref="L408">IF($A408="","",IF($J408="No","",GetMatchingValue($XFD$9,"Original","Control Number",L$2,$A408)))</f>
        <v/>
      </c>
      <c r="M408" s="13" t="str">
        <f t="shared" ca="1" si="8"/>
        <v/>
      </c>
      <c r="N408" s="16"/>
      <c r="O408" s="34" t="str" cm="1">
        <f t="array" ref="O408">IF($A408="","",IF($J408="No","",GetMatchingValue($XFD$9,"Original","Control Number",O$2,$A408)))</f>
        <v/>
      </c>
      <c r="P408" s="34" t="str" cm="1">
        <f t="array" ref="P408">IF($A408="","",IF($J408="No","",GetMatchingValue($XFD$9,"Original","Control Number",P$2,$A408)))</f>
        <v/>
      </c>
      <c r="Q408" s="34" t="str" cm="1">
        <f t="array" ref="Q408">IF($A408="","",IF($J408="No","",GetMatchingValue($XFD$9,"Original","Control Number",Q$2,$A408)))</f>
        <v/>
      </c>
      <c r="R408" s="34" t="str" cm="1">
        <f t="array" ref="R408">IF($A408="","",IF($J408="No","",GetMatchingValue($XFD$9,"Original","Control Number",R$2,$A408)))</f>
        <v/>
      </c>
      <c r="S408" s="34" t="str" cm="1">
        <f t="array" ref="S408">IF($A408="","",IF($J408="No","",GetMatchingValue($XFD$9,"Original","Control Number",S$2,$A408)))</f>
        <v/>
      </c>
      <c r="T408" s="34" t="str" cm="1">
        <f t="array" ref="T408">IF($A408="","",IF($J408="No","",GetMatchingValue($XFD$9,"Original","Control Number",T$2,$A408)))</f>
        <v/>
      </c>
      <c r="U408" s="34" t="str" cm="1">
        <f t="array" ref="U408">IF($A408="","",IF($J408="No","",GetMatchingValue($XFD$9,"Original","Control Number",U$2,$A408)))</f>
        <v/>
      </c>
      <c r="V408" s="14"/>
      <c r="W408" s="17"/>
      <c r="X408" s="17"/>
      <c r="Y408" s="17"/>
      <c r="Z408" s="13"/>
      <c r="AA408" s="13"/>
      <c r="AB408" s="13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3"/>
    </row>
    <row r="409" spans="1:45" ht="40.5" customHeight="1" x14ac:dyDescent="0.2">
      <c r="A409" s="19"/>
      <c r="B409" s="19"/>
      <c r="C409" s="15"/>
      <c r="D409" s="15"/>
      <c r="E409" s="13"/>
      <c r="F409" s="34" t="str" cm="1">
        <f t="array" ref="F409">IF($A409="","",GetMatchingValue($XFD$8,"Original","Control Number",F$2,$A409))</f>
        <v/>
      </c>
      <c r="G409" s="34" t="str" cm="1">
        <f t="array" ref="G409">IF($A409="","",GetMatchingValue($XFD$8,"Original","Control Number",G$2,$A409))</f>
        <v/>
      </c>
      <c r="H409" s="34" t="str" cm="1">
        <f t="array" ref="H409">IF($A409="","",GetMatchingValue($XFD$8,"Original","Control Number",H$2,$A409))</f>
        <v/>
      </c>
      <c r="I409" s="13"/>
      <c r="J409" s="13" t="str" cm="1">
        <f t="array" ref="J409">IF($A409="","",CheckControlNumberExists($XFD$9, "Original", $A409))</f>
        <v/>
      </c>
      <c r="K409" s="34" t="str" cm="1">
        <f t="array" ref="K409">IF($A409="","",IF($J409="No","",GetMatchingValue($XFD$9,"Original","Control Number",K$2,$A409)))</f>
        <v/>
      </c>
      <c r="L409" s="34" t="str" cm="1">
        <f t="array" ref="L409">IF($A409="","",IF($J409="No","",GetMatchingValue($XFD$9,"Original","Control Number",L$2,$A409)))</f>
        <v/>
      </c>
      <c r="M409" s="13" t="str">
        <f t="shared" ca="1" si="8"/>
        <v/>
      </c>
      <c r="N409" s="16"/>
      <c r="O409" s="34" t="str" cm="1">
        <f t="array" ref="O409">IF($A409="","",IF($J409="No","",GetMatchingValue($XFD$9,"Original","Control Number",O$2,$A409)))</f>
        <v/>
      </c>
      <c r="P409" s="34" t="str" cm="1">
        <f t="array" ref="P409">IF($A409="","",IF($J409="No","",GetMatchingValue($XFD$9,"Original","Control Number",P$2,$A409)))</f>
        <v/>
      </c>
      <c r="Q409" s="34" t="str" cm="1">
        <f t="array" ref="Q409">IF($A409="","",IF($J409="No","",GetMatchingValue($XFD$9,"Original","Control Number",Q$2,$A409)))</f>
        <v/>
      </c>
      <c r="R409" s="34" t="str" cm="1">
        <f t="array" ref="R409">IF($A409="","",IF($J409="No","",GetMatchingValue($XFD$9,"Original","Control Number",R$2,$A409)))</f>
        <v/>
      </c>
      <c r="S409" s="34" t="str" cm="1">
        <f t="array" ref="S409">IF($A409="","",IF($J409="No","",GetMatchingValue($XFD$9,"Original","Control Number",S$2,$A409)))</f>
        <v/>
      </c>
      <c r="T409" s="34" t="str" cm="1">
        <f t="array" ref="T409">IF($A409="","",IF($J409="No","",GetMatchingValue($XFD$9,"Original","Control Number",T$2,$A409)))</f>
        <v/>
      </c>
      <c r="U409" s="34" t="str" cm="1">
        <f t="array" ref="U409">IF($A409="","",IF($J409="No","",GetMatchingValue($XFD$9,"Original","Control Number",U$2,$A409)))</f>
        <v/>
      </c>
      <c r="V409" s="14"/>
      <c r="W409" s="17"/>
      <c r="X409" s="17"/>
      <c r="Y409" s="17"/>
      <c r="Z409" s="13"/>
      <c r="AA409" s="13"/>
      <c r="AB409" s="13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3"/>
    </row>
    <row r="410" spans="1:45" ht="40.5" customHeight="1" x14ac:dyDescent="0.2">
      <c r="A410" s="19"/>
      <c r="B410" s="19"/>
      <c r="C410" s="15"/>
      <c r="D410" s="15"/>
      <c r="E410" s="13"/>
      <c r="F410" s="34" t="str" cm="1">
        <f t="array" ref="F410">IF($A410="","",GetMatchingValue($XFD$8,"Original","Control Number",F$2,$A410))</f>
        <v/>
      </c>
      <c r="G410" s="34" t="str" cm="1">
        <f t="array" ref="G410">IF($A410="","",GetMatchingValue($XFD$8,"Original","Control Number",G$2,$A410))</f>
        <v/>
      </c>
      <c r="H410" s="34" t="str" cm="1">
        <f t="array" ref="H410">IF($A410="","",GetMatchingValue($XFD$8,"Original","Control Number",H$2,$A410))</f>
        <v/>
      </c>
      <c r="I410" s="13"/>
      <c r="J410" s="13" t="str" cm="1">
        <f t="array" ref="J410">IF($A410="","",CheckControlNumberExists($XFD$9, "Original", $A410))</f>
        <v/>
      </c>
      <c r="K410" s="34" t="str" cm="1">
        <f t="array" ref="K410">IF($A410="","",IF($J410="No","",GetMatchingValue($XFD$9,"Original","Control Number",K$2,$A410)))</f>
        <v/>
      </c>
      <c r="L410" s="34" t="str" cm="1">
        <f t="array" ref="L410">IF($A410="","",IF($J410="No","",GetMatchingValue($XFD$9,"Original","Control Number",L$2,$A410)))</f>
        <v/>
      </c>
      <c r="M410" s="13" t="str">
        <f t="shared" ca="1" si="8"/>
        <v/>
      </c>
      <c r="N410" s="16"/>
      <c r="O410" s="34" t="str" cm="1">
        <f t="array" ref="O410">IF($A410="","",IF($J410="No","",GetMatchingValue($XFD$9,"Original","Control Number",O$2,$A410)))</f>
        <v/>
      </c>
      <c r="P410" s="34" t="str" cm="1">
        <f t="array" ref="P410">IF($A410="","",IF($J410="No","",GetMatchingValue($XFD$9,"Original","Control Number",P$2,$A410)))</f>
        <v/>
      </c>
      <c r="Q410" s="34" t="str" cm="1">
        <f t="array" ref="Q410">IF($A410="","",IF($J410="No","",GetMatchingValue($XFD$9,"Original","Control Number",Q$2,$A410)))</f>
        <v/>
      </c>
      <c r="R410" s="34" t="str" cm="1">
        <f t="array" ref="R410">IF($A410="","",IF($J410="No","",GetMatchingValue($XFD$9,"Original","Control Number",R$2,$A410)))</f>
        <v/>
      </c>
      <c r="S410" s="34" t="str" cm="1">
        <f t="array" ref="S410">IF($A410="","",IF($J410="No","",GetMatchingValue($XFD$9,"Original","Control Number",S$2,$A410)))</f>
        <v/>
      </c>
      <c r="T410" s="34" t="str" cm="1">
        <f t="array" ref="T410">IF($A410="","",IF($J410="No","",GetMatchingValue($XFD$9,"Original","Control Number",T$2,$A410)))</f>
        <v/>
      </c>
      <c r="U410" s="34" t="str" cm="1">
        <f t="array" ref="U410">IF($A410="","",IF($J410="No","",GetMatchingValue($XFD$9,"Original","Control Number",U$2,$A410)))</f>
        <v/>
      </c>
      <c r="V410" s="14"/>
      <c r="W410" s="17"/>
      <c r="X410" s="17"/>
      <c r="Y410" s="17"/>
      <c r="Z410" s="13"/>
      <c r="AA410" s="13"/>
      <c r="AB410" s="13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3"/>
    </row>
    <row r="411" spans="1:45" ht="40.5" customHeight="1" x14ac:dyDescent="0.2">
      <c r="A411" s="19"/>
      <c r="B411" s="19"/>
      <c r="C411" s="15"/>
      <c r="D411" s="15"/>
      <c r="E411" s="13"/>
      <c r="F411" s="34" t="str" cm="1">
        <f t="array" ref="F411">IF($A411="","",GetMatchingValue($XFD$8,"Original","Control Number",F$2,$A411))</f>
        <v/>
      </c>
      <c r="G411" s="34" t="str" cm="1">
        <f t="array" ref="G411">IF($A411="","",GetMatchingValue($XFD$8,"Original","Control Number",G$2,$A411))</f>
        <v/>
      </c>
      <c r="H411" s="34" t="str" cm="1">
        <f t="array" ref="H411">IF($A411="","",GetMatchingValue($XFD$8,"Original","Control Number",H$2,$A411))</f>
        <v/>
      </c>
      <c r="I411" s="13"/>
      <c r="J411" s="13" t="str" cm="1">
        <f t="array" ref="J411">IF($A411="","",CheckControlNumberExists($XFD$9, "Original", $A411))</f>
        <v/>
      </c>
      <c r="K411" s="34" t="str" cm="1">
        <f t="array" ref="K411">IF($A411="","",IF($J411="No","",GetMatchingValue($XFD$9,"Original","Control Number",K$2,$A411)))</f>
        <v/>
      </c>
      <c r="L411" s="34" t="str" cm="1">
        <f t="array" ref="L411">IF($A411="","",IF($J411="No","",GetMatchingValue($XFD$9,"Original","Control Number",L$2,$A411)))</f>
        <v/>
      </c>
      <c r="M411" s="13" t="str">
        <f t="shared" ca="1" si="8"/>
        <v/>
      </c>
      <c r="N411" s="16"/>
      <c r="O411" s="34" t="str" cm="1">
        <f t="array" ref="O411">IF($A411="","",IF($J411="No","",GetMatchingValue($XFD$9,"Original","Control Number",O$2,$A411)))</f>
        <v/>
      </c>
      <c r="P411" s="34" t="str" cm="1">
        <f t="array" ref="P411">IF($A411="","",IF($J411="No","",GetMatchingValue($XFD$9,"Original","Control Number",P$2,$A411)))</f>
        <v/>
      </c>
      <c r="Q411" s="34" t="str" cm="1">
        <f t="array" ref="Q411">IF($A411="","",IF($J411="No","",GetMatchingValue($XFD$9,"Original","Control Number",Q$2,$A411)))</f>
        <v/>
      </c>
      <c r="R411" s="34" t="str" cm="1">
        <f t="array" ref="R411">IF($A411="","",IF($J411="No","",GetMatchingValue($XFD$9,"Original","Control Number",R$2,$A411)))</f>
        <v/>
      </c>
      <c r="S411" s="34" t="str" cm="1">
        <f t="array" ref="S411">IF($A411="","",IF($J411="No","",GetMatchingValue($XFD$9,"Original","Control Number",S$2,$A411)))</f>
        <v/>
      </c>
      <c r="T411" s="34" t="str" cm="1">
        <f t="array" ref="T411">IF($A411="","",IF($J411="No","",GetMatchingValue($XFD$9,"Original","Control Number",T$2,$A411)))</f>
        <v/>
      </c>
      <c r="U411" s="34" t="str" cm="1">
        <f t="array" ref="U411">IF($A411="","",IF($J411="No","",GetMatchingValue($XFD$9,"Original","Control Number",U$2,$A411)))</f>
        <v/>
      </c>
      <c r="V411" s="14"/>
      <c r="W411" s="17"/>
      <c r="X411" s="17"/>
      <c r="Y411" s="17"/>
      <c r="Z411" s="13"/>
      <c r="AA411" s="13"/>
      <c r="AB411" s="13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3"/>
    </row>
    <row r="412" spans="1:45" ht="40.5" customHeight="1" x14ac:dyDescent="0.2">
      <c r="A412" s="19"/>
      <c r="B412" s="19"/>
      <c r="C412" s="15"/>
      <c r="D412" s="15"/>
      <c r="E412" s="13"/>
      <c r="F412" s="34" t="str" cm="1">
        <f t="array" ref="F412">IF($A412="","",GetMatchingValue($XFD$8,"Original","Control Number",F$2,$A412))</f>
        <v/>
      </c>
      <c r="G412" s="34" t="str" cm="1">
        <f t="array" ref="G412">IF($A412="","",GetMatchingValue($XFD$8,"Original","Control Number",G$2,$A412))</f>
        <v/>
      </c>
      <c r="H412" s="34" t="str" cm="1">
        <f t="array" ref="H412">IF($A412="","",GetMatchingValue($XFD$8,"Original","Control Number",H$2,$A412))</f>
        <v/>
      </c>
      <c r="I412" s="13"/>
      <c r="J412" s="13" t="str" cm="1">
        <f t="array" ref="J412">IF($A412="","",CheckControlNumberExists($XFD$9, "Original", $A412))</f>
        <v/>
      </c>
      <c r="K412" s="34" t="str" cm="1">
        <f t="array" ref="K412">IF($A412="","",IF($J412="No","",GetMatchingValue($XFD$9,"Original","Control Number",K$2,$A412)))</f>
        <v/>
      </c>
      <c r="L412" s="34" t="str" cm="1">
        <f t="array" ref="L412">IF($A412="","",IF($J412="No","",GetMatchingValue($XFD$9,"Original","Control Number",L$2,$A412)))</f>
        <v/>
      </c>
      <c r="M412" s="13" t="str">
        <f t="shared" ca="1" si="8"/>
        <v/>
      </c>
      <c r="N412" s="16"/>
      <c r="O412" s="34" t="str" cm="1">
        <f t="array" ref="O412">IF($A412="","",IF($J412="No","",GetMatchingValue($XFD$9,"Original","Control Number",O$2,$A412)))</f>
        <v/>
      </c>
      <c r="P412" s="34" t="str" cm="1">
        <f t="array" ref="P412">IF($A412="","",IF($J412="No","",GetMatchingValue($XFD$9,"Original","Control Number",P$2,$A412)))</f>
        <v/>
      </c>
      <c r="Q412" s="34" t="str" cm="1">
        <f t="array" ref="Q412">IF($A412="","",IF($J412="No","",GetMatchingValue($XFD$9,"Original","Control Number",Q$2,$A412)))</f>
        <v/>
      </c>
      <c r="R412" s="34" t="str" cm="1">
        <f t="array" ref="R412">IF($A412="","",IF($J412="No","",GetMatchingValue($XFD$9,"Original","Control Number",R$2,$A412)))</f>
        <v/>
      </c>
      <c r="S412" s="34" t="str" cm="1">
        <f t="array" ref="S412">IF($A412="","",IF($J412="No","",GetMatchingValue($XFD$9,"Original","Control Number",S$2,$A412)))</f>
        <v/>
      </c>
      <c r="T412" s="34" t="str" cm="1">
        <f t="array" ref="T412">IF($A412="","",IF($J412="No","",GetMatchingValue($XFD$9,"Original","Control Number",T$2,$A412)))</f>
        <v/>
      </c>
      <c r="U412" s="34" t="str" cm="1">
        <f t="array" ref="U412">IF($A412="","",IF($J412="No","",GetMatchingValue($XFD$9,"Original","Control Number",U$2,$A412)))</f>
        <v/>
      </c>
      <c r="V412" s="14"/>
      <c r="W412" s="17"/>
      <c r="X412" s="17"/>
      <c r="Y412" s="17"/>
      <c r="Z412" s="13"/>
      <c r="AA412" s="13"/>
      <c r="AB412" s="13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3"/>
    </row>
    <row r="413" spans="1:45" ht="40.5" customHeight="1" x14ac:dyDescent="0.2">
      <c r="A413" s="19"/>
      <c r="B413" s="19"/>
      <c r="C413" s="15"/>
      <c r="D413" s="15"/>
      <c r="E413" s="13"/>
      <c r="F413" s="34" t="str" cm="1">
        <f t="array" ref="F413">IF($A413="","",GetMatchingValue($XFD$8,"Original","Control Number",F$2,$A413))</f>
        <v/>
      </c>
      <c r="G413" s="34" t="str" cm="1">
        <f t="array" ref="G413">IF($A413="","",GetMatchingValue($XFD$8,"Original","Control Number",G$2,$A413))</f>
        <v/>
      </c>
      <c r="H413" s="34" t="str" cm="1">
        <f t="array" ref="H413">IF($A413="","",GetMatchingValue($XFD$8,"Original","Control Number",H$2,$A413))</f>
        <v/>
      </c>
      <c r="I413" s="13"/>
      <c r="J413" s="13" t="str" cm="1">
        <f t="array" ref="J413">IF($A413="","",CheckControlNumberExists($XFD$9, "Original", $A413))</f>
        <v/>
      </c>
      <c r="K413" s="34" t="str" cm="1">
        <f t="array" ref="K413">IF($A413="","",IF($J413="No","",GetMatchingValue($XFD$9,"Original","Control Number",K$2,$A413)))</f>
        <v/>
      </c>
      <c r="L413" s="34" t="str" cm="1">
        <f t="array" ref="L413">IF($A413="","",IF($J413="No","",GetMatchingValue($XFD$9,"Original","Control Number",L$2,$A413)))</f>
        <v/>
      </c>
      <c r="M413" s="13" t="str">
        <f t="shared" ca="1" si="8"/>
        <v/>
      </c>
      <c r="N413" s="16"/>
      <c r="O413" s="34" t="str" cm="1">
        <f t="array" ref="O413">IF($A413="","",IF($J413="No","",GetMatchingValue($XFD$9,"Original","Control Number",O$2,$A413)))</f>
        <v/>
      </c>
      <c r="P413" s="34" t="str" cm="1">
        <f t="array" ref="P413">IF($A413="","",IF($J413="No","",GetMatchingValue($XFD$9,"Original","Control Number",P$2,$A413)))</f>
        <v/>
      </c>
      <c r="Q413" s="34" t="str" cm="1">
        <f t="array" ref="Q413">IF($A413="","",IF($J413="No","",GetMatchingValue($XFD$9,"Original","Control Number",Q$2,$A413)))</f>
        <v/>
      </c>
      <c r="R413" s="34" t="str" cm="1">
        <f t="array" ref="R413">IF($A413="","",IF($J413="No","",GetMatchingValue($XFD$9,"Original","Control Number",R$2,$A413)))</f>
        <v/>
      </c>
      <c r="S413" s="34" t="str" cm="1">
        <f t="array" ref="S413">IF($A413="","",IF($J413="No","",GetMatchingValue($XFD$9,"Original","Control Number",S$2,$A413)))</f>
        <v/>
      </c>
      <c r="T413" s="34" t="str" cm="1">
        <f t="array" ref="T413">IF($A413="","",IF($J413="No","",GetMatchingValue($XFD$9,"Original","Control Number",T$2,$A413)))</f>
        <v/>
      </c>
      <c r="U413" s="34" t="str" cm="1">
        <f t="array" ref="U413">IF($A413="","",IF($J413="No","",GetMatchingValue($XFD$9,"Original","Control Number",U$2,$A413)))</f>
        <v/>
      </c>
      <c r="V413" s="14"/>
      <c r="W413" s="17"/>
      <c r="X413" s="17"/>
      <c r="Y413" s="17"/>
      <c r="Z413" s="13"/>
      <c r="AA413" s="13"/>
      <c r="AB413" s="13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3"/>
    </row>
    <row r="414" spans="1:45" ht="40.5" customHeight="1" x14ac:dyDescent="0.2">
      <c r="A414" s="19"/>
      <c r="B414" s="19"/>
      <c r="C414" s="15"/>
      <c r="D414" s="15"/>
      <c r="E414" s="13"/>
      <c r="F414" s="34" t="str" cm="1">
        <f t="array" ref="F414">IF($A414="","",GetMatchingValue($XFD$8,"Original","Control Number",F$2,$A414))</f>
        <v/>
      </c>
      <c r="G414" s="34" t="str" cm="1">
        <f t="array" ref="G414">IF($A414="","",GetMatchingValue($XFD$8,"Original","Control Number",G$2,$A414))</f>
        <v/>
      </c>
      <c r="H414" s="34" t="str" cm="1">
        <f t="array" ref="H414">IF($A414="","",GetMatchingValue($XFD$8,"Original","Control Number",H$2,$A414))</f>
        <v/>
      </c>
      <c r="I414" s="13"/>
      <c r="J414" s="13" t="str" cm="1">
        <f t="array" ref="J414">IF($A414="","",CheckControlNumberExists($XFD$9, "Original", $A414))</f>
        <v/>
      </c>
      <c r="K414" s="34" t="str" cm="1">
        <f t="array" ref="K414">IF($A414="","",IF($J414="No","",GetMatchingValue($XFD$9,"Original","Control Number",K$2,$A414)))</f>
        <v/>
      </c>
      <c r="L414" s="34" t="str" cm="1">
        <f t="array" ref="L414">IF($A414="","",IF($J414="No","",GetMatchingValue($XFD$9,"Original","Control Number",L$2,$A414)))</f>
        <v/>
      </c>
      <c r="M414" s="13" t="str">
        <f t="shared" ca="1" si="8"/>
        <v/>
      </c>
      <c r="N414" s="16"/>
      <c r="O414" s="34" t="str" cm="1">
        <f t="array" ref="O414">IF($A414="","",IF($J414="No","",GetMatchingValue($XFD$9,"Original","Control Number",O$2,$A414)))</f>
        <v/>
      </c>
      <c r="P414" s="34" t="str" cm="1">
        <f t="array" ref="P414">IF($A414="","",IF($J414="No","",GetMatchingValue($XFD$9,"Original","Control Number",P$2,$A414)))</f>
        <v/>
      </c>
      <c r="Q414" s="34" t="str" cm="1">
        <f t="array" ref="Q414">IF($A414="","",IF($J414="No","",GetMatchingValue($XFD$9,"Original","Control Number",Q$2,$A414)))</f>
        <v/>
      </c>
      <c r="R414" s="34" t="str" cm="1">
        <f t="array" ref="R414">IF($A414="","",IF($J414="No","",GetMatchingValue($XFD$9,"Original","Control Number",R$2,$A414)))</f>
        <v/>
      </c>
      <c r="S414" s="34" t="str" cm="1">
        <f t="array" ref="S414">IF($A414="","",IF($J414="No","",GetMatchingValue($XFD$9,"Original","Control Number",S$2,$A414)))</f>
        <v/>
      </c>
      <c r="T414" s="34" t="str" cm="1">
        <f t="array" ref="T414">IF($A414="","",IF($J414="No","",GetMatchingValue($XFD$9,"Original","Control Number",T$2,$A414)))</f>
        <v/>
      </c>
      <c r="U414" s="34" t="str" cm="1">
        <f t="array" ref="U414">IF($A414="","",IF($J414="No","",GetMatchingValue($XFD$9,"Original","Control Number",U$2,$A414)))</f>
        <v/>
      </c>
      <c r="V414" s="14"/>
      <c r="W414" s="17"/>
      <c r="X414" s="17"/>
      <c r="Y414" s="17"/>
      <c r="Z414" s="13"/>
      <c r="AA414" s="13"/>
      <c r="AB414" s="13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3"/>
    </row>
  </sheetData>
  <autoFilter ref="A2:AS414" xr:uid="{DD058675-6F42-4BF9-B231-53F467024723}">
    <sortState xmlns:xlrd2="http://schemas.microsoft.com/office/spreadsheetml/2017/richdata2" ref="A4:AS198">
      <sortCondition ref="A2:A198"/>
    </sortState>
  </autoFilter>
  <mergeCells count="10">
    <mergeCell ref="V1:AB1"/>
    <mergeCell ref="AC1:AR1"/>
    <mergeCell ref="AS1:AS2"/>
    <mergeCell ref="AT1:AT2"/>
    <mergeCell ref="A1:A2"/>
    <mergeCell ref="B1:D1"/>
    <mergeCell ref="F1:H1"/>
    <mergeCell ref="J1:L1"/>
    <mergeCell ref="M1:N1"/>
    <mergeCell ref="O1:U1"/>
  </mergeCells>
  <conditionalFormatting sqref="F3:I502">
    <cfRule type="expression" dxfId="148" priority="134">
      <formula>$I$1="No"</formula>
    </cfRule>
  </conditionalFormatting>
  <conditionalFormatting sqref="B3:E502">
    <cfRule type="expression" dxfId="147" priority="133">
      <formula>$E$1="No"</formula>
    </cfRule>
  </conditionalFormatting>
  <conditionalFormatting sqref="K79:S502 V3:AS502 K3:U414">
    <cfRule type="expression" dxfId="146" priority="132">
      <formula>$J3="No"</formula>
    </cfRule>
    <cfRule type="expression" dxfId="145" priority="148">
      <formula>$J3="No"</formula>
    </cfRule>
    <cfRule type="expression" dxfId="144" priority="149">
      <formula>$I3="Non-Compliant"</formula>
    </cfRule>
  </conditionalFormatting>
  <conditionalFormatting sqref="J78:J502 J3:M414">
    <cfRule type="expression" dxfId="143" priority="117">
      <formula>AND($I3="Non-Compliant",$J3="No")</formula>
    </cfRule>
    <cfRule type="expression" dxfId="142" priority="118">
      <formula>AND($I3="Discouraged",$J3="No")</formula>
    </cfRule>
    <cfRule type="expression" dxfId="141" priority="119">
      <formula>AND($I3="Discouraged",$J3="Yes")</formula>
    </cfRule>
    <cfRule type="expression" dxfId="140" priority="120">
      <formula>AND($I3="Encouraged",$J3="Yes")</formula>
    </cfRule>
    <cfRule type="expression" dxfId="139" priority="121">
      <formula>AND($I3="Encouraged",$J3="No")</formula>
    </cfRule>
    <cfRule type="expression" dxfId="138" priority="128">
      <formula>AND($I3="Encourage",$J3="No")</formula>
    </cfRule>
    <cfRule type="expression" dxfId="137" priority="129">
      <formula>AND($I3="Encourage",$J3="Yes")</formula>
    </cfRule>
    <cfRule type="expression" dxfId="136" priority="130">
      <formula>AND($I3="Discourage",$J3="Yes")</formula>
    </cfRule>
    <cfRule type="expression" dxfId="135" priority="131">
      <formula>AND($I3="Discourage",$J3="No")</formula>
    </cfRule>
    <cfRule type="containsText" dxfId="134" priority="135" operator="containsText" text="Yes">
      <formula>NOT(ISERROR(SEARCH("Yes",J3)))</formula>
    </cfRule>
    <cfRule type="containsText" dxfId="133" priority="136" operator="containsText" text="No">
      <formula>NOT(ISERROR(SEARCH("No",J3)))</formula>
    </cfRule>
  </conditionalFormatting>
  <conditionalFormatting sqref="V3:V502">
    <cfRule type="containsText" dxfId="132" priority="137" operator="containsText" text="Non-Compliant">
      <formula>NOT(ISERROR(SEARCH("Non-Compliant",V3)))</formula>
    </cfRule>
    <cfRule type="containsText" dxfId="131" priority="139" operator="containsText" text="Not Selected">
      <formula>NOT(ISERROR(SEARCH("Not Selected",V3)))</formula>
    </cfRule>
    <cfRule type="containsText" dxfId="130" priority="140" operator="containsText" text="Selected">
      <formula>NOT(ISERROR(SEARCH("Selected",V3)))</formula>
    </cfRule>
  </conditionalFormatting>
  <conditionalFormatting sqref="W3:AS502">
    <cfRule type="expression" dxfId="129" priority="138">
      <formula>$V3="Non-Compliant"</formula>
    </cfRule>
    <cfRule type="expression" dxfId="128" priority="141">
      <formula>$V3="Not Selected"</formula>
    </cfRule>
  </conditionalFormatting>
  <conditionalFormatting sqref="K3:K502 K3:L414">
    <cfRule type="expression" dxfId="127" priority="124">
      <formula>AND($K3&lt;&gt;$B3,$K3&lt;&gt;"",$B3&lt;&gt;"")</formula>
    </cfRule>
    <cfRule type="expression" dxfId="126" priority="127">
      <formula>AND($K3&lt;&gt;$F3,$K3&lt;&gt;"",$F3&lt;&gt;"")</formula>
    </cfRule>
  </conditionalFormatting>
  <conditionalFormatting sqref="O415:O502 O3:U414">
    <cfRule type="expression" dxfId="125" priority="122">
      <formula>AND($O3&lt;&gt;$D3,$O3&lt;&gt;"",$D3&lt;&gt;"")</formula>
    </cfRule>
    <cfRule type="expression" dxfId="124" priority="125">
      <formula>AND($O3&lt;&gt;$H3,$O3&lt;&gt;"",$H3&lt;&gt;"")</formula>
    </cfRule>
  </conditionalFormatting>
  <conditionalFormatting sqref="I3:I502">
    <cfRule type="containsText" dxfId="123" priority="145" operator="containsText" text="Non-Compliant">
      <formula>NOT(ISERROR(SEARCH("Non-Compliant",I3)))</formula>
    </cfRule>
    <cfRule type="containsText" dxfId="122" priority="146" operator="containsText" text="Encouraged">
      <formula>NOT(ISERROR(SEARCH("Encouraged",I3)))</formula>
    </cfRule>
    <cfRule type="containsText" dxfId="121" priority="147" operator="containsText" text="Discouraged">
      <formula>NOT(ISERROR(SEARCH("Discouraged",I3)))</formula>
    </cfRule>
  </conditionalFormatting>
  <conditionalFormatting sqref="E3:E502">
    <cfRule type="containsText" dxfId="120" priority="142" operator="containsText" text="Non-Compliant">
      <formula>NOT(ISERROR(SEARCH("Non-Compliant",E3)))</formula>
    </cfRule>
    <cfRule type="containsText" dxfId="119" priority="143" operator="containsText" text="Yes">
      <formula>NOT(ISERROR(SEARCH("Yes",E3)))</formula>
    </cfRule>
    <cfRule type="containsText" dxfId="118" priority="144" operator="containsText" text="No">
      <formula>NOT(ISERROR(SEARCH("No",E3)))</formula>
    </cfRule>
  </conditionalFormatting>
  <conditionalFormatting sqref="L3:L502">
    <cfRule type="expression" dxfId="117" priority="123">
      <formula>AND($L3&lt;&gt;$C3,$L3&lt;&gt;"",$C3&lt;&gt;"")</formula>
    </cfRule>
    <cfRule type="expression" dxfId="116" priority="126">
      <formula>AND($L3&lt;&gt;$G3,$L3&lt;&gt;"",$G3&lt;&gt;"")</formula>
    </cfRule>
  </conditionalFormatting>
  <conditionalFormatting sqref="T3:U502">
    <cfRule type="expression" dxfId="115" priority="114">
      <formula>$J3="No"</formula>
    </cfRule>
    <cfRule type="expression" dxfId="114" priority="115">
      <formula>$J3="No"</formula>
    </cfRule>
    <cfRule type="expression" dxfId="113" priority="116">
      <formula>$I3="Non-Compliant"</formula>
    </cfRule>
  </conditionalFormatting>
  <conditionalFormatting sqref="O4:S4">
    <cfRule type="expression" dxfId="112" priority="101">
      <formula>AND($I4="Non-Compliant",$J4="No")</formula>
    </cfRule>
    <cfRule type="expression" dxfId="111" priority="102">
      <formula>AND($I4="Discouraged",$J4="No")</formula>
    </cfRule>
    <cfRule type="expression" dxfId="110" priority="103">
      <formula>AND($I4="Discouraged",$J4="Yes")</formula>
    </cfRule>
    <cfRule type="expression" dxfId="109" priority="104">
      <formula>AND($I4="Encouraged",$J4="Yes")</formula>
    </cfRule>
    <cfRule type="expression" dxfId="108" priority="105">
      <formula>AND($I4="Encouraged",$J4="No")</formula>
    </cfRule>
    <cfRule type="expression" dxfId="107" priority="108">
      <formula>AND($I4="Encourage",$J4="No")</formula>
    </cfRule>
    <cfRule type="expression" dxfId="106" priority="109">
      <formula>AND($I4="Encourage",$J4="Yes")</formula>
    </cfRule>
    <cfRule type="expression" dxfId="105" priority="110">
      <formula>AND($I4="Discourage",$J4="Yes")</formula>
    </cfRule>
    <cfRule type="expression" dxfId="104" priority="111">
      <formula>AND($I4="Discourage",$J4="No")</formula>
    </cfRule>
    <cfRule type="containsText" dxfId="103" priority="112" operator="containsText" text="Yes">
      <formula>NOT(ISERROR(SEARCH("Yes",O4)))</formula>
    </cfRule>
    <cfRule type="containsText" dxfId="102" priority="113" operator="containsText" text="No">
      <formula>NOT(ISERROR(SEARCH("No",O4)))</formula>
    </cfRule>
  </conditionalFormatting>
  <conditionalFormatting sqref="O4:S4">
    <cfRule type="expression" dxfId="101" priority="106">
      <formula>AND($L4&lt;&gt;$C4,$L4&lt;&gt;"",$C4&lt;&gt;"")</formula>
    </cfRule>
    <cfRule type="expression" dxfId="100" priority="107">
      <formula>AND($L4&lt;&gt;$G4,$L4&lt;&gt;"",$G4&lt;&gt;"")</formula>
    </cfRule>
  </conditionalFormatting>
  <conditionalFormatting sqref="T4:U4">
    <cfRule type="expression" dxfId="99" priority="98">
      <formula>$J4="No"</formula>
    </cfRule>
    <cfRule type="expression" dxfId="98" priority="99">
      <formula>$J4="No"</formula>
    </cfRule>
    <cfRule type="expression" dxfId="97" priority="100">
      <formula>$I4="Non-Compliant"</formula>
    </cfRule>
  </conditionalFormatting>
  <conditionalFormatting sqref="M4:S4">
    <cfRule type="expression" dxfId="96" priority="85">
      <formula>AND($I4="Non-Compliant",$J4="No")</formula>
    </cfRule>
    <cfRule type="expression" dxfId="95" priority="86">
      <formula>AND($I4="Discouraged",$J4="No")</formula>
    </cfRule>
    <cfRule type="expression" dxfId="94" priority="87">
      <formula>AND($I4="Discouraged",$J4="Yes")</formula>
    </cfRule>
    <cfRule type="expression" dxfId="93" priority="88">
      <formula>AND($I4="Encouraged",$J4="Yes")</formula>
    </cfRule>
    <cfRule type="expression" dxfId="92" priority="89">
      <formula>AND($I4="Encouraged",$J4="No")</formula>
    </cfRule>
    <cfRule type="expression" dxfId="91" priority="92">
      <formula>AND($I4="Encourage",$J4="No")</formula>
    </cfRule>
    <cfRule type="expression" dxfId="90" priority="93">
      <formula>AND($I4="Encourage",$J4="Yes")</formula>
    </cfRule>
    <cfRule type="expression" dxfId="89" priority="94">
      <formula>AND($I4="Discourage",$J4="Yes")</formula>
    </cfRule>
    <cfRule type="expression" dxfId="88" priority="95">
      <formula>AND($I4="Discourage",$J4="No")</formula>
    </cfRule>
    <cfRule type="containsText" dxfId="87" priority="96" operator="containsText" text="Yes">
      <formula>NOT(ISERROR(SEARCH("Yes",M4)))</formula>
    </cfRule>
    <cfRule type="containsText" dxfId="86" priority="97" operator="containsText" text="No">
      <formula>NOT(ISERROR(SEARCH("No",M4)))</formula>
    </cfRule>
  </conditionalFormatting>
  <conditionalFormatting sqref="M4:S4">
    <cfRule type="expression" dxfId="85" priority="90">
      <formula>AND($L4&lt;&gt;$C4,$L4&lt;&gt;"",$C4&lt;&gt;"")</formula>
    </cfRule>
    <cfRule type="expression" dxfId="84" priority="91">
      <formula>AND($L4&lt;&gt;$G4,$L4&lt;&gt;"",$G4&lt;&gt;"")</formula>
    </cfRule>
  </conditionalFormatting>
  <conditionalFormatting sqref="O3:U414">
    <cfRule type="expression" dxfId="83" priority="72">
      <formula>AND($I3="Non-Compliant",$J3="No")</formula>
    </cfRule>
    <cfRule type="expression" dxfId="82" priority="73">
      <formula>AND($I3="Discouraged",$J3="No")</formula>
    </cfRule>
    <cfRule type="expression" dxfId="81" priority="74">
      <formula>AND($I3="Discouraged",$J3="Yes")</formula>
    </cfRule>
    <cfRule type="expression" dxfId="80" priority="75">
      <formula>AND($I3="Encouraged",$J3="Yes")</formula>
    </cfRule>
    <cfRule type="expression" dxfId="79" priority="76">
      <formula>AND($I3="Encouraged",$J3="No")</formula>
    </cfRule>
    <cfRule type="expression" dxfId="78" priority="79">
      <formula>AND($I3="Encourage",$J3="No")</formula>
    </cfRule>
    <cfRule type="expression" dxfId="77" priority="80">
      <formula>AND($I3="Encourage",$J3="Yes")</formula>
    </cfRule>
    <cfRule type="expression" dxfId="76" priority="81">
      <formula>AND($I3="Discourage",$J3="Yes")</formula>
    </cfRule>
    <cfRule type="expression" dxfId="75" priority="82">
      <formula>AND($I3="Discourage",$J3="No")</formula>
    </cfRule>
    <cfRule type="containsText" dxfId="74" priority="83" operator="containsText" text="Yes">
      <formula>NOT(ISERROR(SEARCH("Yes",O3)))</formula>
    </cfRule>
    <cfRule type="containsText" dxfId="73" priority="84" operator="containsText" text="No">
      <formula>NOT(ISERROR(SEARCH("No",O3)))</formula>
    </cfRule>
  </conditionalFormatting>
  <conditionalFormatting sqref="O3:U414">
    <cfRule type="expression" dxfId="72" priority="77">
      <formula>AND($L3&lt;&gt;$C3,$L3&lt;&gt;"",$C3&lt;&gt;"")</formula>
    </cfRule>
    <cfRule type="expression" dxfId="71" priority="78">
      <formula>AND($L3&lt;&gt;$G3,$L3&lt;&gt;"",$G3&lt;&gt;"")</formula>
    </cfRule>
  </conditionalFormatting>
  <conditionalFormatting sqref="T3:U414">
    <cfRule type="expression" dxfId="70" priority="69">
      <formula>$J3="No"</formula>
    </cfRule>
    <cfRule type="expression" dxfId="69" priority="70">
      <formula>$J3="No"</formula>
    </cfRule>
    <cfRule type="expression" dxfId="68" priority="71">
      <formula>$I3="Non-Compliant"</formula>
    </cfRule>
  </conditionalFormatting>
  <conditionalFormatting sqref="O3:U414">
    <cfRule type="expression" dxfId="67" priority="56">
      <formula>AND($I3="Non-Compliant",$J3="No")</formula>
    </cfRule>
    <cfRule type="expression" dxfId="66" priority="57">
      <formula>AND($I3="Discouraged",$J3="No")</formula>
    </cfRule>
    <cfRule type="expression" dxfId="65" priority="58">
      <formula>AND($I3="Discouraged",$J3="Yes")</formula>
    </cfRule>
    <cfRule type="expression" dxfId="64" priority="59">
      <formula>AND($I3="Encouraged",$J3="Yes")</formula>
    </cfRule>
    <cfRule type="expression" dxfId="63" priority="60">
      <formula>AND($I3="Encouraged",$J3="No")</formula>
    </cfRule>
    <cfRule type="expression" dxfId="62" priority="63">
      <formula>AND($I3="Encourage",$J3="No")</formula>
    </cfRule>
    <cfRule type="expression" dxfId="61" priority="64">
      <formula>AND($I3="Encourage",$J3="Yes")</formula>
    </cfRule>
    <cfRule type="expression" dxfId="60" priority="65">
      <formula>AND($I3="Discourage",$J3="Yes")</formula>
    </cfRule>
    <cfRule type="expression" dxfId="59" priority="66">
      <formula>AND($I3="Discourage",$J3="No")</formula>
    </cfRule>
    <cfRule type="containsText" dxfId="58" priority="67" operator="containsText" text="Yes">
      <formula>NOT(ISERROR(SEARCH("Yes",O3)))</formula>
    </cfRule>
    <cfRule type="containsText" dxfId="57" priority="68" operator="containsText" text="No">
      <formula>NOT(ISERROR(SEARCH("No",O3)))</formula>
    </cfRule>
  </conditionalFormatting>
  <conditionalFormatting sqref="O3:U414">
    <cfRule type="expression" dxfId="56" priority="61">
      <formula>AND($L3&lt;&gt;$C3,$L3&lt;&gt;"",$C3&lt;&gt;"")</formula>
    </cfRule>
    <cfRule type="expression" dxfId="55" priority="62">
      <formula>AND($L3&lt;&gt;$G3,$L3&lt;&gt;"",$G3&lt;&gt;"")</formula>
    </cfRule>
  </conditionalFormatting>
  <conditionalFormatting sqref="O3:U414">
    <cfRule type="expression" dxfId="54" priority="41">
      <formula>AND($I3="Non-Compliant",$J3="No")</formula>
    </cfRule>
    <cfRule type="expression" dxfId="53" priority="42">
      <formula>AND($I3="Discouraged",$J3="No")</formula>
    </cfRule>
    <cfRule type="expression" dxfId="52" priority="43">
      <formula>AND($I3="Discouraged",$J3="Yes")</formula>
    </cfRule>
    <cfRule type="expression" dxfId="51" priority="44">
      <formula>AND($I3="Encouraged",$J3="Yes")</formula>
    </cfRule>
    <cfRule type="expression" dxfId="50" priority="45">
      <formula>AND($I3="Encouraged",$J3="No")</formula>
    </cfRule>
    <cfRule type="expression" dxfId="49" priority="50">
      <formula>AND($I3="Encourage",$J3="No")</formula>
    </cfRule>
    <cfRule type="expression" dxfId="48" priority="51">
      <formula>AND($I3="Encourage",$J3="Yes")</formula>
    </cfRule>
    <cfRule type="expression" dxfId="47" priority="52">
      <formula>AND($I3="Discourage",$J3="Yes")</formula>
    </cfRule>
    <cfRule type="expression" dxfId="46" priority="53">
      <formula>AND($I3="Discourage",$J3="No")</formula>
    </cfRule>
    <cfRule type="containsText" dxfId="45" priority="54" operator="containsText" text="Yes">
      <formula>NOT(ISERROR(SEARCH("Yes",O3)))</formula>
    </cfRule>
    <cfRule type="containsText" dxfId="44" priority="55" operator="containsText" text="No">
      <formula>NOT(ISERROR(SEARCH("No",O3)))</formula>
    </cfRule>
  </conditionalFormatting>
  <conditionalFormatting sqref="O3:U414">
    <cfRule type="expression" dxfId="43" priority="47">
      <formula>AND($K3&lt;&gt;$B3,$K3&lt;&gt;"",$B3&lt;&gt;"")</formula>
    </cfRule>
    <cfRule type="expression" dxfId="42" priority="49">
      <formula>AND($K3&lt;&gt;$F3,$K3&lt;&gt;"",$F3&lt;&gt;"")</formula>
    </cfRule>
  </conditionalFormatting>
  <conditionalFormatting sqref="O3:U414">
    <cfRule type="expression" dxfId="41" priority="46">
      <formula>AND($L3&lt;&gt;$C3,$L3&lt;&gt;"",$C3&lt;&gt;"")</formula>
    </cfRule>
    <cfRule type="expression" dxfId="40" priority="48">
      <formula>AND($L3&lt;&gt;$G3,$L3&lt;&gt;"",$G3&lt;&gt;"")</formula>
    </cfRule>
  </conditionalFormatting>
  <conditionalFormatting sqref="O3:U414">
    <cfRule type="expression" dxfId="39" priority="28">
      <formula>AND($I3="Non-Compliant",$J3="No")</formula>
    </cfRule>
    <cfRule type="expression" dxfId="38" priority="29">
      <formula>AND($I3="Discouraged",$J3="No")</formula>
    </cfRule>
    <cfRule type="expression" dxfId="37" priority="30">
      <formula>AND($I3="Discouraged",$J3="Yes")</formula>
    </cfRule>
    <cfRule type="expression" dxfId="36" priority="31">
      <formula>AND($I3="Encouraged",$J3="Yes")</formula>
    </cfRule>
    <cfRule type="expression" dxfId="35" priority="32">
      <formula>AND($I3="Encouraged",$J3="No")</formula>
    </cfRule>
    <cfRule type="expression" dxfId="34" priority="35">
      <formula>AND($I3="Encourage",$J3="No")</formula>
    </cfRule>
    <cfRule type="expression" dxfId="33" priority="36">
      <formula>AND($I3="Encourage",$J3="Yes")</formula>
    </cfRule>
    <cfRule type="expression" dxfId="32" priority="37">
      <formula>AND($I3="Discourage",$J3="Yes")</formula>
    </cfRule>
    <cfRule type="expression" dxfId="31" priority="38">
      <formula>AND($I3="Discourage",$J3="No")</formula>
    </cfRule>
    <cfRule type="containsText" dxfId="30" priority="39" operator="containsText" text="Yes">
      <formula>NOT(ISERROR(SEARCH("Yes",O3)))</formula>
    </cfRule>
    <cfRule type="containsText" dxfId="29" priority="40" operator="containsText" text="No">
      <formula>NOT(ISERROR(SEARCH("No",O3)))</formula>
    </cfRule>
  </conditionalFormatting>
  <conditionalFormatting sqref="O3:U414">
    <cfRule type="expression" dxfId="28" priority="33">
      <formula>AND($K3&lt;&gt;$B3,$K3&lt;&gt;"",$B3&lt;&gt;"")</formula>
    </cfRule>
    <cfRule type="expression" dxfId="27" priority="34">
      <formula>AND($K3&lt;&gt;$F3,$K3&lt;&gt;"",$F3&lt;&gt;"")</formula>
    </cfRule>
  </conditionalFormatting>
  <conditionalFormatting sqref="O3:U414">
    <cfRule type="expression" dxfId="26" priority="15">
      <formula>AND($I3="Non-Compliant",$J3="No")</formula>
    </cfRule>
    <cfRule type="expression" dxfId="25" priority="16">
      <formula>AND($I3="Discouraged",$J3="No")</formula>
    </cfRule>
    <cfRule type="expression" dxfId="24" priority="17">
      <formula>AND($I3="Discouraged",$J3="Yes")</formula>
    </cfRule>
    <cfRule type="expression" dxfId="23" priority="18">
      <formula>AND($I3="Encouraged",$J3="Yes")</formula>
    </cfRule>
    <cfRule type="expression" dxfId="22" priority="19">
      <formula>AND($I3="Encouraged",$J3="No")</formula>
    </cfRule>
    <cfRule type="expression" dxfId="21" priority="22">
      <formula>AND($I3="Encourage",$J3="No")</formula>
    </cfRule>
    <cfRule type="expression" dxfId="20" priority="23">
      <formula>AND($I3="Encourage",$J3="Yes")</formula>
    </cfRule>
    <cfRule type="expression" dxfId="19" priority="24">
      <formula>AND($I3="Discourage",$J3="Yes")</formula>
    </cfRule>
    <cfRule type="expression" dxfId="18" priority="25">
      <formula>AND($I3="Discourage",$J3="No")</formula>
    </cfRule>
    <cfRule type="containsText" dxfId="17" priority="26" operator="containsText" text="Yes">
      <formula>NOT(ISERROR(SEARCH("Yes",O3)))</formula>
    </cfRule>
    <cfRule type="containsText" dxfId="16" priority="27" operator="containsText" text="No">
      <formula>NOT(ISERROR(SEARCH("No",O3)))</formula>
    </cfRule>
  </conditionalFormatting>
  <conditionalFormatting sqref="O3:U414">
    <cfRule type="expression" dxfId="15" priority="20">
      <formula>AND($K3&lt;&gt;$B3,$K3&lt;&gt;"",$B3&lt;&gt;"")</formula>
    </cfRule>
    <cfRule type="expression" dxfId="14" priority="21">
      <formula>AND($K3&lt;&gt;$F3,$K3&lt;&gt;"",$F3&lt;&gt;"")</formula>
    </cfRule>
  </conditionalFormatting>
  <conditionalFormatting sqref="F3:U414">
    <cfRule type="cellIs" dxfId="13" priority="14" operator="equal">
      <formula>"Not Found"</formula>
    </cfRule>
  </conditionalFormatting>
  <conditionalFormatting sqref="O3:U414">
    <cfRule type="expression" dxfId="12" priority="1">
      <formula>AND($I3="Non-Compliant",$J3="No")</formula>
    </cfRule>
    <cfRule type="expression" dxfId="11" priority="2">
      <formula>AND($I3="Discouraged",$J3="No")</formula>
    </cfRule>
    <cfRule type="expression" dxfId="10" priority="3">
      <formula>AND($I3="Discouraged",$J3="Yes")</formula>
    </cfRule>
    <cfRule type="expression" dxfId="9" priority="4">
      <formula>AND($I3="Encouraged",$J3="Yes")</formula>
    </cfRule>
    <cfRule type="expression" dxfId="8" priority="5">
      <formula>AND($I3="Encouraged",$J3="No")</formula>
    </cfRule>
    <cfRule type="expression" dxfId="7" priority="8">
      <formula>AND($I3="Encourage",$J3="No")</formula>
    </cfRule>
    <cfRule type="expression" dxfId="6" priority="9">
      <formula>AND($I3="Encourage",$J3="Yes")</formula>
    </cfRule>
    <cfRule type="expression" dxfId="5" priority="10">
      <formula>AND($I3="Discourage",$J3="Yes")</formula>
    </cfRule>
    <cfRule type="expression" dxfId="4" priority="11">
      <formula>AND($I3="Discourage",$J3="No")</formula>
    </cfRule>
    <cfRule type="containsText" dxfId="3" priority="12" operator="containsText" text="Yes">
      <formula>NOT(ISERROR(SEARCH("Yes",O3)))</formula>
    </cfRule>
    <cfRule type="containsText" dxfId="2" priority="13" operator="containsText" text="No">
      <formula>NOT(ISERROR(SEARCH("No",O3)))</formula>
    </cfRule>
  </conditionalFormatting>
  <conditionalFormatting sqref="O3:U414">
    <cfRule type="expression" dxfId="1" priority="6">
      <formula>AND($K3&lt;&gt;$B3,$K3&lt;&gt;"",$B3&lt;&gt;"")</formula>
    </cfRule>
    <cfRule type="expression" dxfId="0" priority="7">
      <formula>AND($K3&lt;&gt;$F3,$K3&lt;&gt;"",$F3&lt;&gt;"")</formula>
    </cfRule>
  </conditionalFormatting>
  <dataValidations count="2">
    <dataValidation type="list" allowBlank="1" showInputMessage="1" showErrorMessage="1" sqref="I3:I502" xr:uid="{7F110BE0-5389-4431-B897-802694AAC8C0}">
      <formula1>"Encouraged,Discouraged,Non-Compliant,N/A"</formula1>
    </dataValidation>
    <dataValidation type="list" allowBlank="1" showInputMessage="1" showErrorMessage="1" sqref="E1 I1" xr:uid="{D049ECDC-4A34-4EC2-B50B-26AD9837152F}">
      <formula1>"Yes,No"</formula1>
    </dataValidation>
  </dataValidations>
  <printOptions horizontalCentered="1"/>
  <pageMargins left="0.7" right="0.7" top="0.75" bottom="0.75" header="0.3" footer="0.3"/>
  <pageSetup scale="79" fitToHeight="0" orientation="portrait" horizontalDpi="1200" verticalDpi="1200" r:id="rId1"/>
  <headerFooter>
    <oddHeader>&amp;L&amp;"Arial,Regular"&amp;9Attachment #3 Concept Paper Recommendations</oddHead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0D554-AA2C-4301-B034-FDE39323FF6F}">
  <sheetPr codeName="Sheet2">
    <tabColor theme="9"/>
  </sheetPr>
  <dimension ref="A1:D517"/>
  <sheetViews>
    <sheetView workbookViewId="0">
      <selection activeCell="D380" sqref="D380"/>
    </sheetView>
  </sheetViews>
  <sheetFormatPr defaultRowHeight="15" x14ac:dyDescent="0.25"/>
  <cols>
    <col min="1" max="1" width="18.28515625" bestFit="1" customWidth="1"/>
    <col min="2" max="2" width="15.42578125" bestFit="1" customWidth="1"/>
    <col min="3" max="3" width="13.85546875" bestFit="1" customWidth="1"/>
    <col min="4" max="4" width="15" bestFit="1" customWidth="1"/>
  </cols>
  <sheetData>
    <row r="1" spans="1:4" x14ac:dyDescent="0.25">
      <c r="A1" s="26" t="s">
        <v>41</v>
      </c>
      <c r="B1" s="26" t="s">
        <v>0</v>
      </c>
      <c r="C1" s="27" t="s">
        <v>13</v>
      </c>
      <c r="D1" s="27" t="s">
        <v>42</v>
      </c>
    </row>
    <row r="2" spans="1:4" x14ac:dyDescent="0.25">
      <c r="A2" s="28" t="s">
        <v>43</v>
      </c>
      <c r="B2" t="s">
        <v>44</v>
      </c>
      <c r="C2" s="29">
        <v>3750000</v>
      </c>
      <c r="D2" s="29">
        <v>0</v>
      </c>
    </row>
    <row r="3" spans="1:4" x14ac:dyDescent="0.25">
      <c r="A3" s="28" t="s">
        <v>43</v>
      </c>
      <c r="B3" t="s">
        <v>45</v>
      </c>
      <c r="C3" s="29">
        <v>3750000</v>
      </c>
      <c r="D3" s="29">
        <v>0</v>
      </c>
    </row>
    <row r="4" spans="1:4" x14ac:dyDescent="0.25">
      <c r="A4" s="28" t="s">
        <v>43</v>
      </c>
      <c r="B4" t="s">
        <v>46</v>
      </c>
      <c r="C4" s="29">
        <v>3750000</v>
      </c>
      <c r="D4" s="29">
        <v>504176</v>
      </c>
    </row>
    <row r="5" spans="1:4" x14ac:dyDescent="0.25">
      <c r="A5" s="28" t="s">
        <v>43</v>
      </c>
      <c r="B5" t="s">
        <v>47</v>
      </c>
      <c r="C5" s="29">
        <v>3729995</v>
      </c>
      <c r="D5" s="29">
        <v>977069</v>
      </c>
    </row>
    <row r="6" spans="1:4" x14ac:dyDescent="0.25">
      <c r="A6" s="28" t="s">
        <v>43</v>
      </c>
      <c r="B6" t="s">
        <v>48</v>
      </c>
      <c r="C6" s="29">
        <v>3750000</v>
      </c>
      <c r="D6" s="29">
        <v>424666</v>
      </c>
    </row>
    <row r="7" spans="1:4" x14ac:dyDescent="0.25">
      <c r="A7" s="28" t="s">
        <v>43</v>
      </c>
      <c r="B7" t="s">
        <v>49</v>
      </c>
      <c r="C7" s="29">
        <v>3748807</v>
      </c>
      <c r="D7" s="29">
        <v>0</v>
      </c>
    </row>
    <row r="8" spans="1:4" x14ac:dyDescent="0.25">
      <c r="A8" s="28" t="s">
        <v>43</v>
      </c>
      <c r="B8" t="s">
        <v>50</v>
      </c>
      <c r="C8" s="29">
        <v>3120050</v>
      </c>
      <c r="D8" s="29">
        <v>315692</v>
      </c>
    </row>
    <row r="9" spans="1:4" x14ac:dyDescent="0.25">
      <c r="A9" s="28" t="s">
        <v>43</v>
      </c>
      <c r="B9" t="s">
        <v>51</v>
      </c>
      <c r="C9" s="29">
        <v>3750000</v>
      </c>
      <c r="D9" s="29">
        <v>545675</v>
      </c>
    </row>
    <row r="10" spans="1:4" x14ac:dyDescent="0.25">
      <c r="A10" s="28" t="s">
        <v>43</v>
      </c>
      <c r="B10" t="s">
        <v>52</v>
      </c>
      <c r="C10" s="29">
        <v>3749786</v>
      </c>
      <c r="D10" s="29">
        <v>0</v>
      </c>
    </row>
    <row r="11" spans="1:4" x14ac:dyDescent="0.25">
      <c r="A11" s="28" t="s">
        <v>43</v>
      </c>
      <c r="B11" t="s">
        <v>53</v>
      </c>
      <c r="C11" s="29">
        <v>3125000</v>
      </c>
      <c r="D11" s="29">
        <v>0</v>
      </c>
    </row>
    <row r="12" spans="1:4" x14ac:dyDescent="0.25">
      <c r="A12" s="28" t="s">
        <v>43</v>
      </c>
      <c r="B12" t="s">
        <v>54</v>
      </c>
      <c r="C12" s="29">
        <v>3736209</v>
      </c>
      <c r="D12" s="29">
        <v>2931337</v>
      </c>
    </row>
    <row r="13" spans="1:4" x14ac:dyDescent="0.25">
      <c r="A13" s="28" t="s">
        <v>43</v>
      </c>
      <c r="B13" t="s">
        <v>55</v>
      </c>
      <c r="C13" s="29">
        <v>3750000</v>
      </c>
      <c r="D13" s="29">
        <v>662458</v>
      </c>
    </row>
    <row r="14" spans="1:4" x14ac:dyDescent="0.25">
      <c r="A14" s="28" t="s">
        <v>43</v>
      </c>
      <c r="B14" t="s">
        <v>56</v>
      </c>
      <c r="C14" s="29">
        <v>3750000</v>
      </c>
      <c r="D14" s="29">
        <v>0</v>
      </c>
    </row>
    <row r="15" spans="1:4" x14ac:dyDescent="0.25">
      <c r="A15" s="28" t="s">
        <v>43</v>
      </c>
      <c r="B15" t="s">
        <v>57</v>
      </c>
      <c r="C15" s="29">
        <v>3748399</v>
      </c>
      <c r="D15" s="29">
        <v>0</v>
      </c>
    </row>
    <row r="16" spans="1:4" x14ac:dyDescent="0.25">
      <c r="A16" s="28" t="s">
        <v>43</v>
      </c>
      <c r="B16" t="s">
        <v>58</v>
      </c>
      <c r="C16" s="29">
        <v>3749992</v>
      </c>
      <c r="D16" s="29">
        <v>0</v>
      </c>
    </row>
    <row r="17" spans="1:4" x14ac:dyDescent="0.25">
      <c r="A17" s="28" t="s">
        <v>43</v>
      </c>
      <c r="B17" t="s">
        <v>59</v>
      </c>
      <c r="C17" s="29">
        <v>3750000</v>
      </c>
      <c r="D17" s="29">
        <v>881327</v>
      </c>
    </row>
    <row r="18" spans="1:4" x14ac:dyDescent="0.25">
      <c r="A18" s="28" t="s">
        <v>43</v>
      </c>
      <c r="B18" t="s">
        <v>60</v>
      </c>
      <c r="C18" s="29">
        <v>3750000</v>
      </c>
      <c r="D18" s="29">
        <v>0</v>
      </c>
    </row>
    <row r="19" spans="1:4" x14ac:dyDescent="0.25">
      <c r="A19" s="28" t="s">
        <v>43</v>
      </c>
      <c r="B19" t="s">
        <v>61</v>
      </c>
      <c r="C19" s="29">
        <v>3750000</v>
      </c>
      <c r="D19" s="29">
        <v>195183</v>
      </c>
    </row>
    <row r="20" spans="1:4" x14ac:dyDescent="0.25">
      <c r="A20" s="28" t="s">
        <v>62</v>
      </c>
      <c r="B20" t="s">
        <v>63</v>
      </c>
      <c r="C20" s="29">
        <v>36000000</v>
      </c>
      <c r="D20" s="29">
        <v>36000000</v>
      </c>
    </row>
    <row r="21" spans="1:4" x14ac:dyDescent="0.25">
      <c r="A21" s="28" t="s">
        <v>62</v>
      </c>
      <c r="B21" t="s">
        <v>64</v>
      </c>
      <c r="C21" s="29">
        <v>22000000</v>
      </c>
      <c r="D21" s="29">
        <v>79000000</v>
      </c>
    </row>
    <row r="22" spans="1:4" x14ac:dyDescent="0.25">
      <c r="A22" s="28" t="s">
        <v>62</v>
      </c>
      <c r="B22" t="s">
        <v>65</v>
      </c>
      <c r="C22" s="29">
        <v>14792351</v>
      </c>
      <c r="D22" s="29">
        <v>22188526</v>
      </c>
    </row>
    <row r="23" spans="1:4" x14ac:dyDescent="0.25">
      <c r="A23" s="28" t="s">
        <v>62</v>
      </c>
      <c r="B23" t="s">
        <v>66</v>
      </c>
      <c r="C23" s="29">
        <v>17613001</v>
      </c>
      <c r="D23" s="29">
        <v>17613002</v>
      </c>
    </row>
    <row r="24" spans="1:4" x14ac:dyDescent="0.25">
      <c r="A24" s="28" t="s">
        <v>62</v>
      </c>
      <c r="B24" t="s">
        <v>67</v>
      </c>
      <c r="C24" s="29">
        <v>21297099</v>
      </c>
      <c r="D24" s="29">
        <v>21297099</v>
      </c>
    </row>
    <row r="25" spans="1:4" x14ac:dyDescent="0.25">
      <c r="A25" s="28" t="s">
        <v>62</v>
      </c>
      <c r="B25" t="s">
        <v>68</v>
      </c>
      <c r="C25" s="29">
        <v>50000000</v>
      </c>
      <c r="D25" s="29">
        <v>134074868</v>
      </c>
    </row>
    <row r="26" spans="1:4" x14ac:dyDescent="0.25">
      <c r="A26" s="28" t="s">
        <v>62</v>
      </c>
      <c r="B26" t="s">
        <v>69</v>
      </c>
      <c r="C26" s="29">
        <v>10852448</v>
      </c>
      <c r="D26" s="29">
        <v>10897940</v>
      </c>
    </row>
    <row r="27" spans="1:4" x14ac:dyDescent="0.25">
      <c r="A27" s="28" t="s">
        <v>62</v>
      </c>
      <c r="B27" t="s">
        <v>70</v>
      </c>
      <c r="C27" s="29">
        <v>50000000</v>
      </c>
      <c r="D27" s="29">
        <v>137263089</v>
      </c>
    </row>
    <row r="28" spans="1:4" x14ac:dyDescent="0.25">
      <c r="A28" s="28" t="s">
        <v>62</v>
      </c>
      <c r="B28" t="s">
        <v>71</v>
      </c>
      <c r="C28" s="29">
        <v>40000000</v>
      </c>
      <c r="D28" s="29">
        <v>40000000</v>
      </c>
    </row>
    <row r="29" spans="1:4" x14ac:dyDescent="0.25">
      <c r="A29" s="28" t="s">
        <v>62</v>
      </c>
      <c r="B29" t="s">
        <v>72</v>
      </c>
      <c r="C29" s="29">
        <v>5083719</v>
      </c>
      <c r="D29" s="29">
        <v>5157423</v>
      </c>
    </row>
    <row r="30" spans="1:4" x14ac:dyDescent="0.25">
      <c r="A30" s="28" t="s">
        <v>62</v>
      </c>
      <c r="B30" t="s">
        <v>73</v>
      </c>
      <c r="C30" s="29">
        <v>17501816</v>
      </c>
      <c r="D30" s="29">
        <v>17501816</v>
      </c>
    </row>
    <row r="31" spans="1:4" x14ac:dyDescent="0.25">
      <c r="A31" s="28" t="s">
        <v>62</v>
      </c>
      <c r="B31" t="s">
        <v>74</v>
      </c>
      <c r="C31" s="29">
        <v>11400000</v>
      </c>
      <c r="D31" s="29">
        <v>16000000</v>
      </c>
    </row>
    <row r="32" spans="1:4" x14ac:dyDescent="0.25">
      <c r="A32" s="28" t="s">
        <v>62</v>
      </c>
      <c r="B32" t="s">
        <v>75</v>
      </c>
      <c r="C32" s="29">
        <v>29647047</v>
      </c>
      <c r="D32" s="29">
        <v>29647047</v>
      </c>
    </row>
    <row r="33" spans="1:4" x14ac:dyDescent="0.25">
      <c r="A33" s="28" t="s">
        <v>62</v>
      </c>
      <c r="B33" t="s">
        <v>76</v>
      </c>
      <c r="C33" s="29">
        <v>46821000</v>
      </c>
      <c r="D33" s="29">
        <v>52674725</v>
      </c>
    </row>
    <row r="34" spans="1:4" x14ac:dyDescent="0.25">
      <c r="A34" s="28" t="s">
        <v>62</v>
      </c>
      <c r="B34" t="s">
        <v>77</v>
      </c>
      <c r="C34" s="29">
        <v>9208605</v>
      </c>
      <c r="D34" s="29">
        <v>9208605</v>
      </c>
    </row>
    <row r="35" spans="1:4" x14ac:dyDescent="0.25">
      <c r="A35" s="28" t="s">
        <v>62</v>
      </c>
      <c r="B35" t="s">
        <v>78</v>
      </c>
      <c r="C35" s="29">
        <v>33067270</v>
      </c>
      <c r="D35" s="29">
        <v>33067270</v>
      </c>
    </row>
    <row r="36" spans="1:4" x14ac:dyDescent="0.25">
      <c r="A36" s="28" t="s">
        <v>62</v>
      </c>
      <c r="B36" t="s">
        <v>79</v>
      </c>
      <c r="C36" s="29">
        <v>20000000</v>
      </c>
      <c r="D36" s="29">
        <v>20000000</v>
      </c>
    </row>
    <row r="37" spans="1:4" x14ac:dyDescent="0.25">
      <c r="A37" s="28" t="s">
        <v>80</v>
      </c>
      <c r="B37" t="s">
        <v>81</v>
      </c>
      <c r="C37" s="29">
        <v>200000000</v>
      </c>
      <c r="D37" s="29">
        <v>200000000</v>
      </c>
    </row>
    <row r="38" spans="1:4" x14ac:dyDescent="0.25">
      <c r="A38" s="28" t="s">
        <v>80</v>
      </c>
      <c r="B38" t="s">
        <v>82</v>
      </c>
      <c r="C38" s="29">
        <v>300000000</v>
      </c>
      <c r="D38" s="29">
        <v>300000000</v>
      </c>
    </row>
    <row r="39" spans="1:4" x14ac:dyDescent="0.25">
      <c r="A39" s="28" t="s">
        <v>80</v>
      </c>
      <c r="B39" t="s">
        <v>83</v>
      </c>
      <c r="C39" s="29">
        <v>116219078</v>
      </c>
      <c r="D39" s="29">
        <v>174328618</v>
      </c>
    </row>
    <row r="40" spans="1:4" x14ac:dyDescent="0.25">
      <c r="A40" s="28" t="s">
        <v>80</v>
      </c>
      <c r="B40" t="s">
        <v>84</v>
      </c>
      <c r="C40" s="29">
        <v>299999992</v>
      </c>
      <c r="D40" s="29">
        <v>1119939046</v>
      </c>
    </row>
    <row r="41" spans="1:4" x14ac:dyDescent="0.25">
      <c r="A41" s="28" t="s">
        <v>80</v>
      </c>
      <c r="B41" t="s">
        <v>85</v>
      </c>
      <c r="C41" s="29">
        <v>300000000</v>
      </c>
      <c r="D41" s="29">
        <v>452532517</v>
      </c>
    </row>
    <row r="42" spans="1:4" x14ac:dyDescent="0.25">
      <c r="A42" s="28" t="s">
        <v>80</v>
      </c>
      <c r="B42" t="s">
        <v>86</v>
      </c>
      <c r="C42" s="29">
        <v>2365000000</v>
      </c>
      <c r="D42" s="29">
        <v>2365000000</v>
      </c>
    </row>
    <row r="43" spans="1:4" x14ac:dyDescent="0.25">
      <c r="A43" s="28" t="s">
        <v>80</v>
      </c>
      <c r="B43" t="s">
        <v>87</v>
      </c>
      <c r="C43" s="29">
        <v>150000000</v>
      </c>
      <c r="D43" s="29">
        <v>1039536890</v>
      </c>
    </row>
    <row r="44" spans="1:4" x14ac:dyDescent="0.25">
      <c r="A44" s="28" t="s">
        <v>80</v>
      </c>
      <c r="B44" t="s">
        <v>88</v>
      </c>
      <c r="C44" s="29">
        <v>168000000</v>
      </c>
      <c r="D44" s="29">
        <v>180618749</v>
      </c>
    </row>
    <row r="45" spans="1:4" x14ac:dyDescent="0.25">
      <c r="A45" s="28" t="s">
        <v>80</v>
      </c>
      <c r="B45" t="s">
        <v>89</v>
      </c>
      <c r="C45" s="29">
        <v>57640793</v>
      </c>
      <c r="D45" s="29">
        <v>57640793</v>
      </c>
    </row>
    <row r="46" spans="1:4" x14ac:dyDescent="0.25">
      <c r="A46" s="28" t="s">
        <v>80</v>
      </c>
      <c r="B46" t="s">
        <v>90</v>
      </c>
      <c r="C46" s="29">
        <v>225000000</v>
      </c>
      <c r="D46" s="29">
        <v>525582267</v>
      </c>
    </row>
    <row r="47" spans="1:4" x14ac:dyDescent="0.25">
      <c r="A47" s="28" t="s">
        <v>80</v>
      </c>
      <c r="B47" t="s">
        <v>91</v>
      </c>
      <c r="C47" s="29">
        <v>197000000</v>
      </c>
      <c r="D47" s="29">
        <v>366000000</v>
      </c>
    </row>
    <row r="48" spans="1:4" x14ac:dyDescent="0.25">
      <c r="A48" s="28" t="s">
        <v>80</v>
      </c>
      <c r="B48" t="s">
        <v>92</v>
      </c>
      <c r="C48" s="29">
        <v>209054215</v>
      </c>
      <c r="D48" s="29">
        <v>333309753</v>
      </c>
    </row>
    <row r="49" spans="1:4" x14ac:dyDescent="0.25">
      <c r="A49" s="28" t="s">
        <v>80</v>
      </c>
      <c r="B49" t="s">
        <v>93</v>
      </c>
      <c r="C49" s="29">
        <v>300000000</v>
      </c>
      <c r="D49" s="29">
        <v>524452712</v>
      </c>
    </row>
    <row r="50" spans="1:4" x14ac:dyDescent="0.25">
      <c r="A50" s="28" t="s">
        <v>80</v>
      </c>
      <c r="B50" t="s">
        <v>94</v>
      </c>
      <c r="C50" s="29">
        <v>137000000</v>
      </c>
      <c r="D50" s="29">
        <v>223000000</v>
      </c>
    </row>
    <row r="51" spans="1:4" x14ac:dyDescent="0.25">
      <c r="A51" s="28" t="s">
        <v>80</v>
      </c>
      <c r="B51" t="s">
        <v>95</v>
      </c>
      <c r="C51" s="29">
        <v>300000000</v>
      </c>
      <c r="D51" s="29">
        <v>3040502904</v>
      </c>
    </row>
    <row r="52" spans="1:4" x14ac:dyDescent="0.25">
      <c r="A52" s="28" t="s">
        <v>80</v>
      </c>
      <c r="B52" t="s">
        <v>96</v>
      </c>
      <c r="C52" s="29">
        <v>238591115</v>
      </c>
      <c r="D52" s="29">
        <v>238591115</v>
      </c>
    </row>
    <row r="53" spans="1:4" x14ac:dyDescent="0.25">
      <c r="A53" s="28" t="s">
        <v>80</v>
      </c>
      <c r="B53" t="s">
        <v>97</v>
      </c>
      <c r="C53" s="29">
        <v>109053410</v>
      </c>
      <c r="D53" s="29">
        <v>109446841</v>
      </c>
    </row>
    <row r="54" spans="1:4" x14ac:dyDescent="0.25">
      <c r="A54" s="28" t="s">
        <v>80</v>
      </c>
      <c r="B54" t="s">
        <v>98</v>
      </c>
      <c r="C54" s="29">
        <v>145000000</v>
      </c>
      <c r="D54" s="29">
        <v>253000000</v>
      </c>
    </row>
    <row r="55" spans="1:4" x14ac:dyDescent="0.25">
      <c r="A55" s="28" t="s">
        <v>80</v>
      </c>
      <c r="B55" t="s">
        <v>99</v>
      </c>
      <c r="C55" s="29">
        <v>150000000</v>
      </c>
      <c r="D55" s="29">
        <v>224892614</v>
      </c>
    </row>
    <row r="56" spans="1:4" x14ac:dyDescent="0.25">
      <c r="A56" s="28" t="s">
        <v>80</v>
      </c>
      <c r="B56" t="s">
        <v>100</v>
      </c>
      <c r="C56" s="29">
        <v>300000000</v>
      </c>
      <c r="D56" s="29">
        <v>300000000</v>
      </c>
    </row>
    <row r="57" spans="1:4" x14ac:dyDescent="0.25">
      <c r="A57" s="28" t="s">
        <v>80</v>
      </c>
      <c r="B57" t="s">
        <v>101</v>
      </c>
      <c r="C57" s="29">
        <v>166175802</v>
      </c>
      <c r="D57" s="29">
        <v>556327686</v>
      </c>
    </row>
    <row r="58" spans="1:4" x14ac:dyDescent="0.25">
      <c r="A58" s="28" t="s">
        <v>80</v>
      </c>
      <c r="B58" t="s">
        <v>102</v>
      </c>
      <c r="C58" s="29">
        <v>166128094</v>
      </c>
      <c r="D58" s="29">
        <v>176128094</v>
      </c>
    </row>
    <row r="59" spans="1:4" x14ac:dyDescent="0.25">
      <c r="A59" s="28" t="s">
        <v>80</v>
      </c>
      <c r="B59" t="s">
        <v>103</v>
      </c>
      <c r="C59" s="29">
        <v>300000000</v>
      </c>
      <c r="D59" s="29">
        <v>358301147</v>
      </c>
    </row>
    <row r="60" spans="1:4" x14ac:dyDescent="0.25">
      <c r="A60" s="28" t="s">
        <v>80</v>
      </c>
      <c r="B60" t="s">
        <v>104</v>
      </c>
      <c r="C60" s="29">
        <v>300000000</v>
      </c>
      <c r="D60" s="29">
        <v>427155020</v>
      </c>
    </row>
    <row r="61" spans="1:4" x14ac:dyDescent="0.25">
      <c r="A61" s="28" t="s">
        <v>80</v>
      </c>
      <c r="B61" t="s">
        <v>105</v>
      </c>
      <c r="C61" s="29">
        <v>69000000</v>
      </c>
      <c r="D61" s="29">
        <v>69000000</v>
      </c>
    </row>
    <row r="62" spans="1:4" x14ac:dyDescent="0.25">
      <c r="A62" s="28" t="s">
        <v>80</v>
      </c>
      <c r="B62" t="s">
        <v>106</v>
      </c>
      <c r="C62" s="29">
        <v>183538054</v>
      </c>
      <c r="D62" s="29">
        <v>183538055</v>
      </c>
    </row>
    <row r="63" spans="1:4" x14ac:dyDescent="0.25">
      <c r="A63" s="28" t="s">
        <v>80</v>
      </c>
      <c r="B63" t="s">
        <v>107</v>
      </c>
      <c r="C63" s="29">
        <v>185007403</v>
      </c>
      <c r="D63" s="29">
        <v>185007405</v>
      </c>
    </row>
    <row r="64" spans="1:4" x14ac:dyDescent="0.25">
      <c r="A64" s="28" t="s">
        <v>80</v>
      </c>
      <c r="B64" t="s">
        <v>108</v>
      </c>
      <c r="C64" s="29">
        <v>183571022</v>
      </c>
      <c r="D64" s="29">
        <v>183571022</v>
      </c>
    </row>
    <row r="65" spans="1:4" x14ac:dyDescent="0.25">
      <c r="A65" s="28" t="s">
        <v>80</v>
      </c>
      <c r="B65" t="s">
        <v>109</v>
      </c>
      <c r="C65" s="29">
        <v>187000000</v>
      </c>
      <c r="D65" s="29">
        <v>195000000</v>
      </c>
    </row>
    <row r="66" spans="1:4" x14ac:dyDescent="0.25">
      <c r="A66" s="28" t="s">
        <v>80</v>
      </c>
      <c r="B66" t="s">
        <v>110</v>
      </c>
      <c r="C66" s="29">
        <v>185032122</v>
      </c>
      <c r="D66" s="29">
        <v>277548184</v>
      </c>
    </row>
    <row r="67" spans="1:4" x14ac:dyDescent="0.25">
      <c r="A67" s="28" t="s">
        <v>80</v>
      </c>
      <c r="B67" t="s">
        <v>111</v>
      </c>
      <c r="C67" s="29">
        <v>100000000</v>
      </c>
      <c r="D67" s="29">
        <v>100000000</v>
      </c>
    </row>
    <row r="68" spans="1:4" x14ac:dyDescent="0.25">
      <c r="A68" s="28" t="s">
        <v>80</v>
      </c>
      <c r="B68" t="s">
        <v>112</v>
      </c>
      <c r="C68" s="29">
        <v>226984653</v>
      </c>
      <c r="D68" s="29">
        <v>340476980</v>
      </c>
    </row>
    <row r="69" spans="1:4" x14ac:dyDescent="0.25">
      <c r="A69" s="28" t="s">
        <v>80</v>
      </c>
      <c r="B69" t="s">
        <v>113</v>
      </c>
      <c r="C69" s="29">
        <v>107000000</v>
      </c>
      <c r="D69" s="29">
        <v>107000000</v>
      </c>
    </row>
    <row r="70" spans="1:4" x14ac:dyDescent="0.25">
      <c r="A70" s="28" t="s">
        <v>80</v>
      </c>
      <c r="B70" t="s">
        <v>114</v>
      </c>
      <c r="C70" s="29">
        <v>111200000</v>
      </c>
      <c r="D70" s="29">
        <v>111200000</v>
      </c>
    </row>
    <row r="71" spans="1:4" x14ac:dyDescent="0.25">
      <c r="A71" s="28" t="s">
        <v>80</v>
      </c>
      <c r="B71" t="s">
        <v>115</v>
      </c>
      <c r="C71" s="29">
        <v>50590994</v>
      </c>
      <c r="D71" s="29">
        <v>50590994</v>
      </c>
    </row>
    <row r="72" spans="1:4" x14ac:dyDescent="0.25">
      <c r="A72" s="28" t="s">
        <v>80</v>
      </c>
      <c r="B72" t="s">
        <v>116</v>
      </c>
      <c r="C72" s="29">
        <v>175000000</v>
      </c>
      <c r="D72" s="29">
        <v>626871465</v>
      </c>
    </row>
    <row r="73" spans="1:4" x14ac:dyDescent="0.25">
      <c r="A73" s="28" t="s">
        <v>80</v>
      </c>
      <c r="B73" t="s">
        <v>117</v>
      </c>
      <c r="C73" s="29">
        <v>79907695</v>
      </c>
      <c r="D73" s="29">
        <v>83631648</v>
      </c>
    </row>
    <row r="74" spans="1:4" x14ac:dyDescent="0.25">
      <c r="A74" s="28" t="s">
        <v>80</v>
      </c>
      <c r="B74" t="s">
        <v>118</v>
      </c>
      <c r="C74" s="29">
        <v>200000000</v>
      </c>
      <c r="D74" s="29">
        <v>245812230</v>
      </c>
    </row>
    <row r="75" spans="1:4" x14ac:dyDescent="0.25">
      <c r="A75" s="28" t="s">
        <v>80</v>
      </c>
      <c r="B75" t="s">
        <v>119</v>
      </c>
      <c r="C75" s="29">
        <v>176453667</v>
      </c>
      <c r="D75" s="29">
        <v>176453669</v>
      </c>
    </row>
    <row r="76" spans="1:4" x14ac:dyDescent="0.25">
      <c r="A76" s="28" t="s">
        <v>80</v>
      </c>
      <c r="B76" t="s">
        <v>120</v>
      </c>
      <c r="C76" s="29">
        <v>125000000</v>
      </c>
      <c r="D76" s="29">
        <v>125000000</v>
      </c>
    </row>
    <row r="77" spans="1:4" x14ac:dyDescent="0.25">
      <c r="A77" s="28" t="s">
        <v>80</v>
      </c>
      <c r="B77" t="s">
        <v>121</v>
      </c>
      <c r="C77" s="29">
        <v>98985465</v>
      </c>
      <c r="D77" s="29">
        <v>101629437</v>
      </c>
    </row>
    <row r="78" spans="1:4" x14ac:dyDescent="0.25">
      <c r="A78" s="28" t="s">
        <v>80</v>
      </c>
      <c r="B78" t="s">
        <v>122</v>
      </c>
      <c r="C78" s="29">
        <v>181966451</v>
      </c>
      <c r="D78" s="29">
        <v>369447036</v>
      </c>
    </row>
    <row r="79" spans="1:4" x14ac:dyDescent="0.25">
      <c r="A79" s="28" t="s">
        <v>80</v>
      </c>
      <c r="B79" t="s">
        <v>123</v>
      </c>
      <c r="C79" s="29">
        <v>250000000</v>
      </c>
      <c r="D79" s="29">
        <v>447190652</v>
      </c>
    </row>
    <row r="80" spans="1:4" x14ac:dyDescent="0.25">
      <c r="A80" s="28" t="s">
        <v>80</v>
      </c>
      <c r="B80" t="s">
        <v>124</v>
      </c>
      <c r="C80" s="29">
        <v>200000000</v>
      </c>
      <c r="D80" s="29">
        <v>209934062</v>
      </c>
    </row>
    <row r="81" spans="1:4" x14ac:dyDescent="0.25">
      <c r="A81" s="28" t="s">
        <v>80</v>
      </c>
      <c r="B81" t="s">
        <v>125</v>
      </c>
      <c r="C81" s="29">
        <v>100000000</v>
      </c>
      <c r="D81" s="29">
        <v>127000000</v>
      </c>
    </row>
    <row r="82" spans="1:4" x14ac:dyDescent="0.25">
      <c r="A82" s="28" t="s">
        <v>80</v>
      </c>
      <c r="B82" t="s">
        <v>126</v>
      </c>
      <c r="C82" s="29">
        <v>256324446</v>
      </c>
      <c r="D82" s="29">
        <v>256324447</v>
      </c>
    </row>
    <row r="83" spans="1:4" x14ac:dyDescent="0.25">
      <c r="A83" s="28" t="s">
        <v>80</v>
      </c>
      <c r="B83" t="s">
        <v>127</v>
      </c>
      <c r="C83" s="29">
        <v>200000000</v>
      </c>
      <c r="D83" s="29">
        <v>200000000</v>
      </c>
    </row>
    <row r="84" spans="1:4" x14ac:dyDescent="0.25">
      <c r="A84" s="28" t="s">
        <v>80</v>
      </c>
      <c r="B84" t="s">
        <v>128</v>
      </c>
      <c r="C84" s="29">
        <v>150000000</v>
      </c>
      <c r="D84" s="29">
        <v>150000000</v>
      </c>
    </row>
    <row r="85" spans="1:4" x14ac:dyDescent="0.25">
      <c r="A85" s="28" t="s">
        <v>80</v>
      </c>
      <c r="B85" t="s">
        <v>129</v>
      </c>
      <c r="C85" s="29">
        <v>55232669</v>
      </c>
      <c r="D85" s="29">
        <v>55232675</v>
      </c>
    </row>
    <row r="86" spans="1:4" x14ac:dyDescent="0.25">
      <c r="A86" s="28" t="s">
        <v>80</v>
      </c>
      <c r="B86" t="s">
        <v>130</v>
      </c>
      <c r="C86" s="29">
        <v>145399748</v>
      </c>
      <c r="D86" s="29">
        <v>198823140</v>
      </c>
    </row>
    <row r="87" spans="1:4" x14ac:dyDescent="0.25">
      <c r="A87" s="28" t="s">
        <v>80</v>
      </c>
      <c r="B87" t="s">
        <v>131</v>
      </c>
      <c r="C87" s="29">
        <v>125000000</v>
      </c>
      <c r="D87" s="29">
        <v>125000000</v>
      </c>
    </row>
    <row r="88" spans="1:4" x14ac:dyDescent="0.25">
      <c r="A88" s="28" t="s">
        <v>80</v>
      </c>
      <c r="B88" t="s">
        <v>132</v>
      </c>
      <c r="C88" s="29">
        <v>200000000</v>
      </c>
      <c r="D88" s="29">
        <v>200000000</v>
      </c>
    </row>
    <row r="89" spans="1:4" x14ac:dyDescent="0.25">
      <c r="A89" s="28" t="s">
        <v>80</v>
      </c>
      <c r="B89" t="s">
        <v>133</v>
      </c>
      <c r="C89" s="29">
        <v>139987243</v>
      </c>
      <c r="D89" s="29">
        <v>159985422</v>
      </c>
    </row>
    <row r="90" spans="1:4" x14ac:dyDescent="0.25">
      <c r="A90" s="28" t="s">
        <v>80</v>
      </c>
      <c r="B90" t="s">
        <v>134</v>
      </c>
      <c r="C90" s="29">
        <v>55243798</v>
      </c>
      <c r="D90" s="29">
        <v>59251120</v>
      </c>
    </row>
    <row r="91" spans="1:4" x14ac:dyDescent="0.25">
      <c r="A91" s="28" t="s">
        <v>80</v>
      </c>
      <c r="B91" t="s">
        <v>135</v>
      </c>
      <c r="C91" s="29">
        <v>148772255</v>
      </c>
      <c r="D91" s="29">
        <v>148772255</v>
      </c>
    </row>
    <row r="92" spans="1:4" x14ac:dyDescent="0.25">
      <c r="A92" s="28" t="s">
        <v>80</v>
      </c>
      <c r="B92" t="s">
        <v>136</v>
      </c>
      <c r="C92" s="29">
        <v>143280892</v>
      </c>
      <c r="D92" s="29">
        <v>143280892</v>
      </c>
    </row>
    <row r="93" spans="1:4" x14ac:dyDescent="0.25">
      <c r="A93" s="28" t="s">
        <v>80</v>
      </c>
      <c r="B93" t="s">
        <v>137</v>
      </c>
      <c r="C93" s="29">
        <v>275762445</v>
      </c>
      <c r="D93" s="29">
        <v>299319840</v>
      </c>
    </row>
    <row r="94" spans="1:4" x14ac:dyDescent="0.25">
      <c r="A94" s="28" t="s">
        <v>80</v>
      </c>
      <c r="B94" t="s">
        <v>138</v>
      </c>
      <c r="C94" s="29">
        <v>250000000</v>
      </c>
      <c r="D94" s="29">
        <v>323642409</v>
      </c>
    </row>
    <row r="95" spans="1:4" x14ac:dyDescent="0.25">
      <c r="A95" s="28" t="s">
        <v>80</v>
      </c>
      <c r="B95" t="s">
        <v>139</v>
      </c>
      <c r="C95" s="29">
        <v>227690900</v>
      </c>
      <c r="D95" s="29">
        <v>227690900</v>
      </c>
    </row>
    <row r="96" spans="1:4" x14ac:dyDescent="0.25">
      <c r="A96" s="28" t="s">
        <v>80</v>
      </c>
      <c r="B96" t="s">
        <v>140</v>
      </c>
      <c r="C96" s="29">
        <v>104000000</v>
      </c>
      <c r="D96" s="29">
        <v>104000000</v>
      </c>
    </row>
    <row r="97" spans="1:4" x14ac:dyDescent="0.25">
      <c r="A97" s="28" t="s">
        <v>80</v>
      </c>
      <c r="B97" t="s">
        <v>141</v>
      </c>
      <c r="C97" s="29">
        <v>282597103</v>
      </c>
      <c r="D97" s="29">
        <v>282597104</v>
      </c>
    </row>
    <row r="98" spans="1:4" x14ac:dyDescent="0.25">
      <c r="A98" s="28" t="s">
        <v>80</v>
      </c>
      <c r="B98" t="s">
        <v>142</v>
      </c>
      <c r="C98" s="29">
        <v>150000000</v>
      </c>
      <c r="D98" s="29">
        <v>682436628</v>
      </c>
    </row>
    <row r="99" spans="1:4" x14ac:dyDescent="0.25">
      <c r="A99" s="28" t="s">
        <v>80</v>
      </c>
      <c r="B99" t="s">
        <v>143</v>
      </c>
      <c r="C99" s="29">
        <v>147430229</v>
      </c>
      <c r="D99" s="29">
        <v>221145344</v>
      </c>
    </row>
    <row r="100" spans="1:4" x14ac:dyDescent="0.25">
      <c r="A100" s="28" t="s">
        <v>80</v>
      </c>
      <c r="B100" t="s">
        <v>144</v>
      </c>
      <c r="C100" s="29">
        <v>148000000</v>
      </c>
      <c r="D100" s="29">
        <v>178810000</v>
      </c>
    </row>
    <row r="101" spans="1:4" x14ac:dyDescent="0.25">
      <c r="A101" s="28" t="s">
        <v>80</v>
      </c>
      <c r="B101" t="s">
        <v>145</v>
      </c>
      <c r="C101" s="29">
        <v>100000000</v>
      </c>
      <c r="D101" s="29">
        <v>492000000</v>
      </c>
    </row>
    <row r="102" spans="1:4" x14ac:dyDescent="0.25">
      <c r="A102" s="28" t="s">
        <v>80</v>
      </c>
      <c r="B102" t="s">
        <v>146</v>
      </c>
      <c r="C102" s="29">
        <v>67075044</v>
      </c>
      <c r="D102" s="29">
        <v>80051475</v>
      </c>
    </row>
    <row r="103" spans="1:4" x14ac:dyDescent="0.25">
      <c r="A103" s="28" t="s">
        <v>80</v>
      </c>
      <c r="B103" t="s">
        <v>147</v>
      </c>
      <c r="C103" s="29">
        <v>275077012</v>
      </c>
      <c r="D103" s="29">
        <v>442746148</v>
      </c>
    </row>
    <row r="104" spans="1:4" x14ac:dyDescent="0.25">
      <c r="A104" s="28" t="s">
        <v>80</v>
      </c>
      <c r="B104" t="s">
        <v>148</v>
      </c>
      <c r="C104" s="29">
        <v>102687243</v>
      </c>
      <c r="D104" s="29">
        <v>109944048</v>
      </c>
    </row>
    <row r="105" spans="1:4" x14ac:dyDescent="0.25">
      <c r="A105" s="28" t="s">
        <v>80</v>
      </c>
      <c r="B105" t="s">
        <v>149</v>
      </c>
      <c r="C105" s="29">
        <v>150000000</v>
      </c>
      <c r="D105" s="29">
        <v>150000000</v>
      </c>
    </row>
    <row r="106" spans="1:4" x14ac:dyDescent="0.25">
      <c r="A106" s="28" t="s">
        <v>80</v>
      </c>
      <c r="B106" t="s">
        <v>150</v>
      </c>
      <c r="C106" s="29">
        <v>221893192</v>
      </c>
      <c r="D106" s="29">
        <v>332839787</v>
      </c>
    </row>
    <row r="107" spans="1:4" x14ac:dyDescent="0.25">
      <c r="A107" s="28" t="s">
        <v>80</v>
      </c>
      <c r="B107" t="s">
        <v>151</v>
      </c>
      <c r="C107" s="29">
        <v>73618000</v>
      </c>
      <c r="D107" s="29">
        <v>73618000</v>
      </c>
    </row>
    <row r="108" spans="1:4" x14ac:dyDescent="0.25">
      <c r="A108" s="28" t="s">
        <v>80</v>
      </c>
      <c r="B108" t="s">
        <v>152</v>
      </c>
      <c r="C108" s="29">
        <v>135000000</v>
      </c>
      <c r="D108" s="29">
        <v>426400000</v>
      </c>
    </row>
    <row r="109" spans="1:4" x14ac:dyDescent="0.25">
      <c r="A109" s="28" t="s">
        <v>80</v>
      </c>
      <c r="B109" t="s">
        <v>153</v>
      </c>
      <c r="C109" s="29">
        <v>125000000</v>
      </c>
      <c r="D109" s="29">
        <v>152800000</v>
      </c>
    </row>
    <row r="110" spans="1:4" x14ac:dyDescent="0.25">
      <c r="A110" s="28" t="s">
        <v>80</v>
      </c>
      <c r="B110" t="s">
        <v>154</v>
      </c>
      <c r="C110" s="29">
        <v>122000000</v>
      </c>
      <c r="D110" s="29">
        <v>147000000</v>
      </c>
    </row>
    <row r="111" spans="1:4" x14ac:dyDescent="0.25">
      <c r="A111" s="28" t="s">
        <v>80</v>
      </c>
      <c r="B111" t="s">
        <v>155</v>
      </c>
      <c r="C111" s="29">
        <v>101095031</v>
      </c>
      <c r="D111" s="29">
        <v>102000000</v>
      </c>
    </row>
    <row r="112" spans="1:4" x14ac:dyDescent="0.25">
      <c r="A112" s="28" t="s">
        <v>80</v>
      </c>
      <c r="B112" t="s">
        <v>156</v>
      </c>
      <c r="C112" s="29">
        <v>89825374</v>
      </c>
      <c r="D112" s="29">
        <v>89883247</v>
      </c>
    </row>
    <row r="113" spans="1:4" x14ac:dyDescent="0.25">
      <c r="A113" s="28" t="s">
        <v>80</v>
      </c>
      <c r="B113" t="s">
        <v>157</v>
      </c>
      <c r="C113" s="29">
        <v>300000000</v>
      </c>
      <c r="D113" s="29">
        <v>301659103</v>
      </c>
    </row>
    <row r="114" spans="1:4" x14ac:dyDescent="0.25">
      <c r="A114" s="28" t="s">
        <v>80</v>
      </c>
      <c r="B114" t="s">
        <v>158</v>
      </c>
      <c r="C114" s="29">
        <v>100000000</v>
      </c>
      <c r="D114" s="29">
        <v>100000000</v>
      </c>
    </row>
    <row r="115" spans="1:4" x14ac:dyDescent="0.25">
      <c r="A115" s="28" t="s">
        <v>80</v>
      </c>
      <c r="B115" t="s">
        <v>159</v>
      </c>
      <c r="C115" s="29">
        <v>150000000</v>
      </c>
      <c r="D115" s="29">
        <v>567663270</v>
      </c>
    </row>
    <row r="116" spans="1:4" x14ac:dyDescent="0.25">
      <c r="A116" s="28" t="s">
        <v>80</v>
      </c>
      <c r="B116" t="s">
        <v>160</v>
      </c>
      <c r="C116" s="29">
        <v>123240569</v>
      </c>
      <c r="D116" s="29">
        <v>299066589</v>
      </c>
    </row>
    <row r="117" spans="1:4" x14ac:dyDescent="0.25">
      <c r="A117" s="28" t="s">
        <v>80</v>
      </c>
      <c r="B117" t="s">
        <v>161</v>
      </c>
      <c r="C117" s="29">
        <v>60000000</v>
      </c>
      <c r="D117" s="29">
        <v>114877413</v>
      </c>
    </row>
    <row r="118" spans="1:4" x14ac:dyDescent="0.25">
      <c r="A118" s="28" t="s">
        <v>80</v>
      </c>
      <c r="B118" t="s">
        <v>162</v>
      </c>
      <c r="C118" s="29">
        <v>100000000</v>
      </c>
      <c r="D118" s="29">
        <v>102500000</v>
      </c>
    </row>
    <row r="119" spans="1:4" x14ac:dyDescent="0.25">
      <c r="A119" s="28" t="s">
        <v>80</v>
      </c>
      <c r="B119" t="s">
        <v>163</v>
      </c>
      <c r="C119" s="29">
        <v>50000000</v>
      </c>
      <c r="D119" s="29">
        <v>80728994</v>
      </c>
    </row>
    <row r="120" spans="1:4" x14ac:dyDescent="0.25">
      <c r="A120" s="28" t="s">
        <v>80</v>
      </c>
      <c r="B120" t="s">
        <v>164</v>
      </c>
      <c r="C120" s="29">
        <v>150000000</v>
      </c>
      <c r="D120" s="29">
        <v>150000000</v>
      </c>
    </row>
    <row r="121" spans="1:4" x14ac:dyDescent="0.25">
      <c r="A121" s="28" t="s">
        <v>80</v>
      </c>
      <c r="B121" t="s">
        <v>165</v>
      </c>
      <c r="C121" s="29">
        <v>103995114</v>
      </c>
      <c r="D121" s="29">
        <v>121541556</v>
      </c>
    </row>
    <row r="122" spans="1:4" x14ac:dyDescent="0.25">
      <c r="A122" s="28" t="s">
        <v>80</v>
      </c>
      <c r="B122" t="s">
        <v>166</v>
      </c>
      <c r="C122" s="29">
        <v>100000000</v>
      </c>
      <c r="D122" s="29">
        <v>100555456</v>
      </c>
    </row>
    <row r="123" spans="1:4" x14ac:dyDescent="0.25">
      <c r="A123" s="28" t="s">
        <v>80</v>
      </c>
      <c r="B123" t="s">
        <v>167</v>
      </c>
      <c r="C123" s="29">
        <v>116000000</v>
      </c>
      <c r="D123" s="29">
        <v>116000000</v>
      </c>
    </row>
    <row r="124" spans="1:4" x14ac:dyDescent="0.25">
      <c r="A124" s="28" t="s">
        <v>80</v>
      </c>
      <c r="B124" t="s">
        <v>168</v>
      </c>
      <c r="C124" s="29">
        <v>212178020</v>
      </c>
      <c r="D124" s="29">
        <v>212178021</v>
      </c>
    </row>
    <row r="125" spans="1:4" x14ac:dyDescent="0.25">
      <c r="A125" s="28" t="s">
        <v>80</v>
      </c>
      <c r="B125" t="s">
        <v>169</v>
      </c>
      <c r="C125" s="29">
        <v>126586497</v>
      </c>
      <c r="D125" s="29">
        <v>253231682</v>
      </c>
    </row>
    <row r="126" spans="1:4" x14ac:dyDescent="0.25">
      <c r="A126" s="28" t="s">
        <v>80</v>
      </c>
      <c r="B126" t="s">
        <v>170</v>
      </c>
      <c r="C126" s="29">
        <v>150000000</v>
      </c>
      <c r="D126" s="29">
        <v>309736551</v>
      </c>
    </row>
    <row r="127" spans="1:4" x14ac:dyDescent="0.25">
      <c r="A127" s="28" t="s">
        <v>80</v>
      </c>
      <c r="B127" t="s">
        <v>171</v>
      </c>
      <c r="C127" s="29">
        <v>200000000</v>
      </c>
      <c r="D127" s="29">
        <v>597384173</v>
      </c>
    </row>
    <row r="128" spans="1:4" x14ac:dyDescent="0.25">
      <c r="A128" s="28" t="s">
        <v>80</v>
      </c>
      <c r="B128" t="s">
        <v>172</v>
      </c>
      <c r="C128" s="29">
        <v>108225808</v>
      </c>
      <c r="D128" s="29">
        <v>108225808</v>
      </c>
    </row>
    <row r="129" spans="1:4" x14ac:dyDescent="0.25">
      <c r="A129" s="28" t="s">
        <v>80</v>
      </c>
      <c r="B129" t="s">
        <v>173</v>
      </c>
      <c r="C129" s="29">
        <v>250000000</v>
      </c>
      <c r="D129" s="29">
        <v>250000000</v>
      </c>
    </row>
    <row r="130" spans="1:4" x14ac:dyDescent="0.25">
      <c r="A130" s="28" t="s">
        <v>80</v>
      </c>
      <c r="B130" t="s">
        <v>174</v>
      </c>
      <c r="C130" s="29">
        <v>100000000</v>
      </c>
      <c r="D130" s="29">
        <v>102000000</v>
      </c>
    </row>
    <row r="131" spans="1:4" x14ac:dyDescent="0.25">
      <c r="A131" s="28" t="s">
        <v>80</v>
      </c>
      <c r="B131" t="s">
        <v>175</v>
      </c>
      <c r="C131" s="29">
        <v>68790827</v>
      </c>
      <c r="D131" s="29">
        <v>68790827</v>
      </c>
    </row>
    <row r="132" spans="1:4" x14ac:dyDescent="0.25">
      <c r="A132" s="28" t="s">
        <v>80</v>
      </c>
      <c r="B132" t="s">
        <v>176</v>
      </c>
      <c r="C132" s="29">
        <v>200000000</v>
      </c>
      <c r="D132" s="29">
        <v>1564063886</v>
      </c>
    </row>
    <row r="133" spans="1:4" x14ac:dyDescent="0.25">
      <c r="A133" s="28" t="s">
        <v>80</v>
      </c>
      <c r="B133" t="s">
        <v>177</v>
      </c>
      <c r="C133" s="29">
        <v>100000000</v>
      </c>
      <c r="D133" s="29">
        <v>140327445</v>
      </c>
    </row>
    <row r="134" spans="1:4" x14ac:dyDescent="0.25">
      <c r="A134" s="28" t="s">
        <v>80</v>
      </c>
      <c r="B134" t="s">
        <v>178</v>
      </c>
      <c r="C134" s="29">
        <v>199999953</v>
      </c>
      <c r="D134" s="29">
        <v>253506572</v>
      </c>
    </row>
    <row r="135" spans="1:4" x14ac:dyDescent="0.25">
      <c r="A135" s="28" t="s">
        <v>80</v>
      </c>
      <c r="B135" t="s">
        <v>179</v>
      </c>
      <c r="C135" s="29">
        <v>100000000</v>
      </c>
      <c r="D135" s="29">
        <v>161502958</v>
      </c>
    </row>
    <row r="136" spans="1:4" x14ac:dyDescent="0.25">
      <c r="A136" s="28" t="s">
        <v>80</v>
      </c>
      <c r="B136" t="s">
        <v>180</v>
      </c>
      <c r="C136" s="29">
        <v>125000000</v>
      </c>
      <c r="D136" s="29">
        <v>264000000</v>
      </c>
    </row>
    <row r="137" spans="1:4" x14ac:dyDescent="0.25">
      <c r="A137" s="28" t="s">
        <v>80</v>
      </c>
      <c r="B137" t="s">
        <v>181</v>
      </c>
      <c r="C137" s="29">
        <v>198679760</v>
      </c>
      <c r="D137" s="29">
        <v>508365652</v>
      </c>
    </row>
    <row r="138" spans="1:4" x14ac:dyDescent="0.25">
      <c r="A138" s="28" t="s">
        <v>80</v>
      </c>
      <c r="B138" t="s">
        <v>182</v>
      </c>
      <c r="C138" s="29">
        <v>150000000</v>
      </c>
      <c r="D138" s="29">
        <v>158118950</v>
      </c>
    </row>
    <row r="139" spans="1:4" x14ac:dyDescent="0.25">
      <c r="A139" s="28" t="s">
        <v>80</v>
      </c>
      <c r="B139" t="s">
        <v>183</v>
      </c>
      <c r="C139" s="29">
        <v>200000000</v>
      </c>
      <c r="D139" s="29">
        <v>2271128625</v>
      </c>
    </row>
    <row r="140" spans="1:4" x14ac:dyDescent="0.25">
      <c r="A140" s="28" t="s">
        <v>80</v>
      </c>
      <c r="B140" t="s">
        <v>184</v>
      </c>
      <c r="C140" s="29">
        <v>200000000</v>
      </c>
      <c r="D140" s="29">
        <v>533731552</v>
      </c>
    </row>
    <row r="141" spans="1:4" x14ac:dyDescent="0.25">
      <c r="A141" s="28" t="s">
        <v>80</v>
      </c>
      <c r="B141" t="s">
        <v>185</v>
      </c>
      <c r="C141" s="29">
        <v>162012508</v>
      </c>
      <c r="D141" s="29">
        <v>242405230</v>
      </c>
    </row>
    <row r="142" spans="1:4" x14ac:dyDescent="0.25">
      <c r="A142" s="28" t="s">
        <v>80</v>
      </c>
      <c r="B142" t="s">
        <v>186</v>
      </c>
      <c r="C142" s="29">
        <v>170000000</v>
      </c>
      <c r="D142" s="29">
        <v>191000000</v>
      </c>
    </row>
    <row r="143" spans="1:4" x14ac:dyDescent="0.25">
      <c r="A143" s="28" t="s">
        <v>80</v>
      </c>
      <c r="B143" t="s">
        <v>187</v>
      </c>
      <c r="C143" s="29">
        <v>200000000</v>
      </c>
      <c r="D143" s="29">
        <v>229000000</v>
      </c>
    </row>
    <row r="144" spans="1:4" x14ac:dyDescent="0.25">
      <c r="A144" s="28" t="s">
        <v>80</v>
      </c>
      <c r="B144" t="s">
        <v>188</v>
      </c>
      <c r="C144" s="29">
        <v>125000000</v>
      </c>
      <c r="D144" s="29">
        <v>250000000</v>
      </c>
    </row>
    <row r="145" spans="1:4" x14ac:dyDescent="0.25">
      <c r="A145" s="28" t="s">
        <v>80</v>
      </c>
      <c r="B145" t="s">
        <v>189</v>
      </c>
      <c r="C145" s="29">
        <v>130000000</v>
      </c>
      <c r="D145" s="29">
        <v>130000000</v>
      </c>
    </row>
    <row r="146" spans="1:4" x14ac:dyDescent="0.25">
      <c r="A146" s="28" t="s">
        <v>80</v>
      </c>
      <c r="B146" t="s">
        <v>190</v>
      </c>
      <c r="C146" s="29">
        <v>199942524</v>
      </c>
      <c r="D146" s="29">
        <v>204799429</v>
      </c>
    </row>
    <row r="147" spans="1:4" x14ac:dyDescent="0.25">
      <c r="A147" s="28" t="s">
        <v>80</v>
      </c>
      <c r="B147" t="s">
        <v>191</v>
      </c>
      <c r="C147" s="29">
        <v>72590490</v>
      </c>
      <c r="D147" s="29">
        <v>76494531</v>
      </c>
    </row>
    <row r="148" spans="1:4" x14ac:dyDescent="0.25">
      <c r="A148" s="28" t="s">
        <v>80</v>
      </c>
      <c r="B148" t="s">
        <v>192</v>
      </c>
      <c r="C148" s="29">
        <v>50000000</v>
      </c>
      <c r="D148" s="29">
        <v>97133370</v>
      </c>
    </row>
    <row r="149" spans="1:4" x14ac:dyDescent="0.25">
      <c r="A149" s="28" t="s">
        <v>80</v>
      </c>
      <c r="B149" t="s">
        <v>193</v>
      </c>
      <c r="C149" s="29">
        <v>140000000</v>
      </c>
      <c r="D149" s="29">
        <v>140000000</v>
      </c>
    </row>
    <row r="150" spans="1:4" x14ac:dyDescent="0.25">
      <c r="A150" s="28" t="s">
        <v>80</v>
      </c>
      <c r="B150" t="s">
        <v>194</v>
      </c>
      <c r="C150" s="29">
        <v>150000000</v>
      </c>
      <c r="D150" s="29">
        <v>150000000</v>
      </c>
    </row>
    <row r="151" spans="1:4" x14ac:dyDescent="0.25">
      <c r="A151" s="28" t="s">
        <v>80</v>
      </c>
      <c r="B151" t="s">
        <v>195</v>
      </c>
      <c r="C151" s="29">
        <v>200000000</v>
      </c>
      <c r="D151" s="29">
        <v>632048633</v>
      </c>
    </row>
    <row r="152" spans="1:4" x14ac:dyDescent="0.25">
      <c r="A152" s="28" t="s">
        <v>80</v>
      </c>
      <c r="B152" t="s">
        <v>196</v>
      </c>
      <c r="C152" s="29">
        <v>98776433</v>
      </c>
      <c r="D152" s="29">
        <v>98776433</v>
      </c>
    </row>
    <row r="153" spans="1:4" x14ac:dyDescent="0.25">
      <c r="A153" s="28" t="s">
        <v>80</v>
      </c>
      <c r="B153" t="s">
        <v>197</v>
      </c>
      <c r="C153" s="29">
        <v>100000000</v>
      </c>
      <c r="D153" s="29">
        <v>170000000</v>
      </c>
    </row>
    <row r="154" spans="1:4" x14ac:dyDescent="0.25">
      <c r="A154" s="28" t="s">
        <v>80</v>
      </c>
      <c r="B154" t="s">
        <v>198</v>
      </c>
      <c r="C154" s="29">
        <v>225000000</v>
      </c>
      <c r="D154" s="29">
        <v>278173067</v>
      </c>
    </row>
    <row r="155" spans="1:4" x14ac:dyDescent="0.25">
      <c r="A155" s="28" t="s">
        <v>80</v>
      </c>
      <c r="B155" t="s">
        <v>199</v>
      </c>
      <c r="C155" s="29">
        <v>50000000</v>
      </c>
      <c r="D155" s="29">
        <v>50000000</v>
      </c>
    </row>
    <row r="156" spans="1:4" x14ac:dyDescent="0.25">
      <c r="A156" s="28" t="s">
        <v>80</v>
      </c>
      <c r="B156" t="s">
        <v>200</v>
      </c>
      <c r="C156" s="29">
        <v>50000000</v>
      </c>
      <c r="D156" s="29">
        <v>70875250</v>
      </c>
    </row>
    <row r="157" spans="1:4" x14ac:dyDescent="0.25">
      <c r="A157" s="28" t="s">
        <v>80</v>
      </c>
      <c r="B157" t="s">
        <v>201</v>
      </c>
      <c r="C157" s="29">
        <v>50000000</v>
      </c>
      <c r="D157" s="29">
        <v>64000000</v>
      </c>
    </row>
    <row r="158" spans="1:4" x14ac:dyDescent="0.25">
      <c r="A158" s="28" t="s">
        <v>80</v>
      </c>
      <c r="B158" t="s">
        <v>202</v>
      </c>
      <c r="C158" s="29">
        <v>100000000</v>
      </c>
      <c r="D158" s="29">
        <v>204000000</v>
      </c>
    </row>
    <row r="159" spans="1:4" x14ac:dyDescent="0.25">
      <c r="A159" s="28" t="s">
        <v>80</v>
      </c>
      <c r="B159" t="s">
        <v>203</v>
      </c>
      <c r="C159" s="29">
        <v>49986174</v>
      </c>
      <c r="D159" s="29">
        <v>61804455</v>
      </c>
    </row>
    <row r="160" spans="1:4" x14ac:dyDescent="0.25">
      <c r="A160" s="28" t="s">
        <v>80</v>
      </c>
      <c r="B160" t="s">
        <v>204</v>
      </c>
      <c r="C160" s="29">
        <v>50000000</v>
      </c>
      <c r="D160" s="29">
        <v>50000000</v>
      </c>
    </row>
    <row r="161" spans="1:4" x14ac:dyDescent="0.25">
      <c r="A161" s="28" t="s">
        <v>80</v>
      </c>
      <c r="B161" t="s">
        <v>205</v>
      </c>
      <c r="C161" s="29">
        <v>50000000</v>
      </c>
      <c r="D161" s="29">
        <v>58026826</v>
      </c>
    </row>
    <row r="162" spans="1:4" x14ac:dyDescent="0.25">
      <c r="A162" s="28" t="s">
        <v>80</v>
      </c>
      <c r="B162" t="s">
        <v>206</v>
      </c>
      <c r="C162" s="29">
        <v>99998282</v>
      </c>
      <c r="D162" s="29">
        <v>214900953</v>
      </c>
    </row>
    <row r="163" spans="1:4" x14ac:dyDescent="0.25">
      <c r="A163" s="28" t="s">
        <v>80</v>
      </c>
      <c r="B163" t="s">
        <v>207</v>
      </c>
      <c r="C163" s="29">
        <v>50000000</v>
      </c>
      <c r="D163" s="29">
        <v>52693374</v>
      </c>
    </row>
    <row r="164" spans="1:4" x14ac:dyDescent="0.25">
      <c r="A164" s="28" t="s">
        <v>80</v>
      </c>
      <c r="B164" t="s">
        <v>208</v>
      </c>
      <c r="C164" s="29">
        <v>50000000</v>
      </c>
      <c r="D164" s="29">
        <v>213963886</v>
      </c>
    </row>
    <row r="165" spans="1:4" x14ac:dyDescent="0.25">
      <c r="A165" s="28" t="s">
        <v>80</v>
      </c>
      <c r="B165" t="s">
        <v>209</v>
      </c>
      <c r="C165" s="29">
        <v>50000000</v>
      </c>
      <c r="D165" s="29">
        <v>70000000</v>
      </c>
    </row>
    <row r="166" spans="1:4" x14ac:dyDescent="0.25">
      <c r="A166" s="28" t="s">
        <v>80</v>
      </c>
      <c r="B166" t="s">
        <v>210</v>
      </c>
      <c r="C166" s="29">
        <v>50000000</v>
      </c>
      <c r="D166" s="29">
        <v>221864500</v>
      </c>
    </row>
    <row r="167" spans="1:4" x14ac:dyDescent="0.25">
      <c r="A167" s="28" t="s">
        <v>80</v>
      </c>
      <c r="B167" t="s">
        <v>211</v>
      </c>
      <c r="C167" s="29">
        <v>50000000</v>
      </c>
      <c r="D167" s="29">
        <v>78824598</v>
      </c>
    </row>
    <row r="168" spans="1:4" x14ac:dyDescent="0.25">
      <c r="A168" s="28" t="s">
        <v>80</v>
      </c>
      <c r="B168" t="s">
        <v>212</v>
      </c>
      <c r="C168" s="29">
        <v>50000000</v>
      </c>
      <c r="D168" s="29">
        <v>131345238</v>
      </c>
    </row>
    <row r="169" spans="1:4" x14ac:dyDescent="0.25">
      <c r="A169" s="28" t="s">
        <v>80</v>
      </c>
      <c r="B169" t="s">
        <v>213</v>
      </c>
      <c r="C169" s="29">
        <v>50000000</v>
      </c>
      <c r="D169" s="29">
        <v>210284941</v>
      </c>
    </row>
    <row r="170" spans="1:4" x14ac:dyDescent="0.25">
      <c r="A170" s="28" t="s">
        <v>80</v>
      </c>
      <c r="B170" t="s">
        <v>214</v>
      </c>
      <c r="C170" s="29">
        <v>50000000</v>
      </c>
      <c r="D170" s="29">
        <v>81324204</v>
      </c>
    </row>
    <row r="171" spans="1:4" x14ac:dyDescent="0.25">
      <c r="A171" s="28" t="s">
        <v>80</v>
      </c>
      <c r="B171" t="s">
        <v>215</v>
      </c>
      <c r="C171" s="29">
        <v>50000000</v>
      </c>
      <c r="D171" s="29">
        <v>71174337</v>
      </c>
    </row>
    <row r="172" spans="1:4" x14ac:dyDescent="0.25">
      <c r="A172" s="28" t="s">
        <v>80</v>
      </c>
      <c r="B172" t="s">
        <v>216</v>
      </c>
      <c r="C172" s="29">
        <v>50000000</v>
      </c>
      <c r="D172" s="29">
        <v>84578370</v>
      </c>
    </row>
    <row r="173" spans="1:4" x14ac:dyDescent="0.25">
      <c r="A173" s="28" t="s">
        <v>80</v>
      </c>
      <c r="B173" t="s">
        <v>217</v>
      </c>
      <c r="C173" s="29">
        <v>50000000</v>
      </c>
      <c r="D173" s="29">
        <v>60000000</v>
      </c>
    </row>
    <row r="174" spans="1:4" x14ac:dyDescent="0.25">
      <c r="A174" s="28" t="s">
        <v>80</v>
      </c>
      <c r="B174" t="s">
        <v>218</v>
      </c>
      <c r="C174" s="29">
        <v>50000000</v>
      </c>
      <c r="D174" s="29">
        <v>59000000</v>
      </c>
    </row>
    <row r="175" spans="1:4" x14ac:dyDescent="0.25">
      <c r="A175" s="28" t="s">
        <v>80</v>
      </c>
      <c r="B175" t="s">
        <v>219</v>
      </c>
      <c r="C175" s="29">
        <v>50000000</v>
      </c>
      <c r="D175" s="29">
        <v>83400000</v>
      </c>
    </row>
    <row r="176" spans="1:4" x14ac:dyDescent="0.25">
      <c r="A176" s="28" t="s">
        <v>80</v>
      </c>
      <c r="B176" t="s">
        <v>220</v>
      </c>
      <c r="C176" s="29">
        <v>50000000</v>
      </c>
      <c r="D176" s="29">
        <v>95221853</v>
      </c>
    </row>
    <row r="177" spans="1:4" x14ac:dyDescent="0.25">
      <c r="A177" s="28" t="s">
        <v>80</v>
      </c>
      <c r="B177" t="s">
        <v>221</v>
      </c>
      <c r="C177" s="29">
        <v>50000000</v>
      </c>
      <c r="D177" s="29">
        <v>50000000</v>
      </c>
    </row>
    <row r="178" spans="1:4" x14ac:dyDescent="0.25">
      <c r="A178" s="28" t="s">
        <v>80</v>
      </c>
      <c r="B178" t="s">
        <v>222</v>
      </c>
      <c r="C178" s="29">
        <v>125000000</v>
      </c>
      <c r="D178" s="29">
        <v>125000000</v>
      </c>
    </row>
    <row r="179" spans="1:4" x14ac:dyDescent="0.25">
      <c r="A179" s="28" t="s">
        <v>80</v>
      </c>
      <c r="B179" t="s">
        <v>223</v>
      </c>
      <c r="C179" s="29">
        <v>52000000</v>
      </c>
      <c r="D179" s="29">
        <v>52000000</v>
      </c>
    </row>
    <row r="180" spans="1:4" x14ac:dyDescent="0.25">
      <c r="A180" s="28" t="s">
        <v>80</v>
      </c>
      <c r="B180" t="s">
        <v>224</v>
      </c>
      <c r="C180" s="29">
        <v>50000000</v>
      </c>
      <c r="D180" s="29">
        <v>90336511</v>
      </c>
    </row>
    <row r="181" spans="1:4" x14ac:dyDescent="0.25">
      <c r="A181" s="28" t="s">
        <v>80</v>
      </c>
      <c r="B181" t="s">
        <v>225</v>
      </c>
      <c r="C181" s="29">
        <v>50000000</v>
      </c>
      <c r="D181" s="29">
        <v>50000000</v>
      </c>
    </row>
    <row r="182" spans="1:4" x14ac:dyDescent="0.25">
      <c r="A182" s="28" t="s">
        <v>80</v>
      </c>
      <c r="B182" t="s">
        <v>226</v>
      </c>
      <c r="C182" s="29">
        <v>100000000</v>
      </c>
      <c r="D182" s="29">
        <v>100000000</v>
      </c>
    </row>
    <row r="183" spans="1:4" x14ac:dyDescent="0.25">
      <c r="A183" s="28" t="s">
        <v>227</v>
      </c>
      <c r="B183" t="s">
        <v>228</v>
      </c>
      <c r="C183" s="29">
        <v>500000000</v>
      </c>
      <c r="D183" s="29">
        <v>900560224</v>
      </c>
    </row>
    <row r="184" spans="1:4" x14ac:dyDescent="0.25">
      <c r="A184" s="28" t="s">
        <v>227</v>
      </c>
      <c r="B184" t="s">
        <v>229</v>
      </c>
      <c r="C184" s="29">
        <v>300000000</v>
      </c>
      <c r="D184" s="29">
        <v>866163965</v>
      </c>
    </row>
    <row r="185" spans="1:4" x14ac:dyDescent="0.25">
      <c r="A185" s="28" t="s">
        <v>227</v>
      </c>
      <c r="B185" t="s">
        <v>230</v>
      </c>
      <c r="C185" s="29">
        <v>388256504</v>
      </c>
      <c r="D185" s="29">
        <v>405023871</v>
      </c>
    </row>
    <row r="186" spans="1:4" x14ac:dyDescent="0.25">
      <c r="A186" s="28" t="s">
        <v>227</v>
      </c>
      <c r="B186" t="s">
        <v>231</v>
      </c>
      <c r="C186" s="29">
        <v>334763050</v>
      </c>
      <c r="D186" s="29">
        <v>339763040</v>
      </c>
    </row>
    <row r="187" spans="1:4" x14ac:dyDescent="0.25">
      <c r="A187" s="28" t="s">
        <v>227</v>
      </c>
      <c r="B187" t="s">
        <v>232</v>
      </c>
      <c r="C187" s="29">
        <v>155881315</v>
      </c>
      <c r="D187" s="29">
        <v>155881315</v>
      </c>
    </row>
    <row r="188" spans="1:4" x14ac:dyDescent="0.25">
      <c r="A188" s="28" t="s">
        <v>227</v>
      </c>
      <c r="B188" t="s">
        <v>233</v>
      </c>
      <c r="C188" s="29">
        <v>209051000</v>
      </c>
      <c r="D188" s="29">
        <v>645720806</v>
      </c>
    </row>
    <row r="189" spans="1:4" x14ac:dyDescent="0.25">
      <c r="A189" s="28" t="s">
        <v>227</v>
      </c>
      <c r="B189" t="s">
        <v>234</v>
      </c>
      <c r="C189" s="29">
        <v>210784037</v>
      </c>
      <c r="D189" s="29">
        <v>210784037</v>
      </c>
    </row>
    <row r="190" spans="1:4" x14ac:dyDescent="0.25">
      <c r="A190" s="28" t="s">
        <v>227</v>
      </c>
      <c r="B190" t="s">
        <v>235</v>
      </c>
      <c r="C190" s="29">
        <v>60751396</v>
      </c>
      <c r="D190" s="29">
        <v>60751396</v>
      </c>
    </row>
    <row r="191" spans="1:4" x14ac:dyDescent="0.25">
      <c r="A191" s="28" t="s">
        <v>227</v>
      </c>
      <c r="B191" t="s">
        <v>236</v>
      </c>
      <c r="C191" s="29">
        <v>198000000</v>
      </c>
      <c r="D191" s="29">
        <v>343034656</v>
      </c>
    </row>
    <row r="192" spans="1:4" x14ac:dyDescent="0.25">
      <c r="A192" s="28" t="s">
        <v>227</v>
      </c>
      <c r="B192" t="s">
        <v>237</v>
      </c>
      <c r="C192" s="29">
        <v>249999999</v>
      </c>
      <c r="D192" s="29">
        <v>280830442</v>
      </c>
    </row>
    <row r="193" spans="1:4" x14ac:dyDescent="0.25">
      <c r="A193" s="28" t="s">
        <v>227</v>
      </c>
      <c r="B193" t="s">
        <v>238</v>
      </c>
      <c r="C193" s="29">
        <v>160825945</v>
      </c>
      <c r="D193" s="29">
        <v>170709382</v>
      </c>
    </row>
    <row r="194" spans="1:4" x14ac:dyDescent="0.25">
      <c r="A194" s="28" t="s">
        <v>227</v>
      </c>
      <c r="B194" t="s">
        <v>239</v>
      </c>
      <c r="C194" s="29">
        <v>157714011</v>
      </c>
      <c r="D194" s="29">
        <v>157714011</v>
      </c>
    </row>
    <row r="195" spans="1:4" x14ac:dyDescent="0.25">
      <c r="A195" s="28" t="s">
        <v>227</v>
      </c>
      <c r="B195" t="s">
        <v>240</v>
      </c>
      <c r="C195" s="29">
        <v>182000000</v>
      </c>
      <c r="D195" s="29">
        <v>541750651</v>
      </c>
    </row>
    <row r="196" spans="1:4" x14ac:dyDescent="0.25">
      <c r="A196" s="28" t="s">
        <v>227</v>
      </c>
      <c r="B196" t="s">
        <v>241</v>
      </c>
      <c r="C196" s="29">
        <v>80000000</v>
      </c>
      <c r="D196" s="29">
        <v>80000000</v>
      </c>
    </row>
    <row r="197" spans="1:4" x14ac:dyDescent="0.25">
      <c r="A197" s="28" t="s">
        <v>227</v>
      </c>
      <c r="B197" t="s">
        <v>242</v>
      </c>
      <c r="C197" s="29">
        <v>75000000</v>
      </c>
      <c r="D197" s="29">
        <v>75000000</v>
      </c>
    </row>
    <row r="198" spans="1:4" x14ac:dyDescent="0.25">
      <c r="A198" s="28" t="s">
        <v>227</v>
      </c>
      <c r="B198" t="s">
        <v>243</v>
      </c>
      <c r="C198" s="29">
        <v>87824000</v>
      </c>
      <c r="D198" s="29">
        <v>88176000</v>
      </c>
    </row>
    <row r="199" spans="1:4" x14ac:dyDescent="0.25">
      <c r="A199" s="28" t="s">
        <v>227</v>
      </c>
      <c r="B199" t="s">
        <v>244</v>
      </c>
      <c r="C199" s="29">
        <v>23500000</v>
      </c>
      <c r="D199" s="29">
        <v>23500000</v>
      </c>
    </row>
    <row r="200" spans="1:4" x14ac:dyDescent="0.25">
      <c r="A200" s="28" t="s">
        <v>227</v>
      </c>
      <c r="B200" t="s">
        <v>245</v>
      </c>
      <c r="C200" s="29">
        <v>77000000</v>
      </c>
      <c r="D200" s="29">
        <v>77000000</v>
      </c>
    </row>
    <row r="201" spans="1:4" x14ac:dyDescent="0.25">
      <c r="A201" s="28" t="s">
        <v>227</v>
      </c>
      <c r="B201" t="s">
        <v>246</v>
      </c>
      <c r="C201" s="29">
        <v>18273343</v>
      </c>
      <c r="D201" s="29">
        <v>20221132</v>
      </c>
    </row>
    <row r="202" spans="1:4" x14ac:dyDescent="0.25">
      <c r="A202" s="28" t="s">
        <v>227</v>
      </c>
      <c r="B202" t="s">
        <v>247</v>
      </c>
      <c r="C202" s="29">
        <v>95982240</v>
      </c>
      <c r="D202" s="29">
        <v>95982240</v>
      </c>
    </row>
    <row r="203" spans="1:4" x14ac:dyDescent="0.25">
      <c r="A203" s="28" t="s">
        <v>227</v>
      </c>
      <c r="B203" t="s">
        <v>248</v>
      </c>
      <c r="C203" s="29">
        <v>50000000</v>
      </c>
      <c r="D203" s="29">
        <v>54000000</v>
      </c>
    </row>
    <row r="204" spans="1:4" x14ac:dyDescent="0.25">
      <c r="A204" s="28" t="s">
        <v>227</v>
      </c>
      <c r="B204" t="s">
        <v>249</v>
      </c>
      <c r="C204" s="29">
        <v>85386997</v>
      </c>
      <c r="D204" s="29">
        <v>92361895</v>
      </c>
    </row>
    <row r="205" spans="1:4" x14ac:dyDescent="0.25">
      <c r="A205" s="28" t="s">
        <v>227</v>
      </c>
      <c r="B205" t="s">
        <v>250</v>
      </c>
      <c r="C205" s="29">
        <v>34950000</v>
      </c>
      <c r="D205" s="29">
        <v>34987186</v>
      </c>
    </row>
    <row r="206" spans="1:4" x14ac:dyDescent="0.25">
      <c r="A206" s="28" t="s">
        <v>227</v>
      </c>
      <c r="B206" t="s">
        <v>251</v>
      </c>
      <c r="C206" s="29">
        <v>48487027</v>
      </c>
      <c r="D206" s="29">
        <v>48487027</v>
      </c>
    </row>
    <row r="207" spans="1:4" x14ac:dyDescent="0.25">
      <c r="A207" s="28" t="s">
        <v>227</v>
      </c>
      <c r="B207" t="s">
        <v>252</v>
      </c>
      <c r="C207" s="29">
        <v>55000000</v>
      </c>
      <c r="D207" s="29">
        <v>55000000</v>
      </c>
    </row>
    <row r="208" spans="1:4" x14ac:dyDescent="0.25">
      <c r="A208" s="28" t="s">
        <v>227</v>
      </c>
      <c r="B208" t="s">
        <v>253</v>
      </c>
      <c r="C208" s="29">
        <v>89000000</v>
      </c>
      <c r="D208" s="29">
        <v>89000000</v>
      </c>
    </row>
    <row r="209" spans="1:4" x14ac:dyDescent="0.25">
      <c r="A209" s="28" t="s">
        <v>227</v>
      </c>
      <c r="B209" t="s">
        <v>254</v>
      </c>
      <c r="C209" s="29">
        <v>64450217</v>
      </c>
      <c r="D209" s="29">
        <v>64708535</v>
      </c>
    </row>
    <row r="210" spans="1:4" x14ac:dyDescent="0.25">
      <c r="A210" s="28" t="s">
        <v>227</v>
      </c>
      <c r="B210" t="s">
        <v>255</v>
      </c>
      <c r="C210" s="29">
        <v>60414100</v>
      </c>
      <c r="D210" s="29">
        <v>60414100</v>
      </c>
    </row>
    <row r="211" spans="1:4" x14ac:dyDescent="0.25">
      <c r="A211" s="28" t="s">
        <v>227</v>
      </c>
      <c r="B211" t="s">
        <v>256</v>
      </c>
      <c r="C211" s="29">
        <v>80000000</v>
      </c>
      <c r="D211" s="29">
        <v>236932646</v>
      </c>
    </row>
    <row r="212" spans="1:4" x14ac:dyDescent="0.25">
      <c r="A212" s="28" t="s">
        <v>227</v>
      </c>
      <c r="B212" t="s">
        <v>257</v>
      </c>
      <c r="C212" s="29">
        <v>33500000</v>
      </c>
      <c r="D212" s="29">
        <v>33500000</v>
      </c>
    </row>
    <row r="213" spans="1:4" x14ac:dyDescent="0.25">
      <c r="A213" s="28" t="s">
        <v>258</v>
      </c>
      <c r="B213" t="s">
        <v>259</v>
      </c>
      <c r="C213" s="29">
        <v>35000</v>
      </c>
      <c r="D213" s="29">
        <v>15000</v>
      </c>
    </row>
    <row r="214" spans="1:4" x14ac:dyDescent="0.25">
      <c r="A214" s="28" t="s">
        <v>258</v>
      </c>
      <c r="B214" t="s">
        <v>260</v>
      </c>
      <c r="C214" s="29">
        <v>25000000</v>
      </c>
      <c r="D214" s="29">
        <v>10715000</v>
      </c>
    </row>
    <row r="215" spans="1:4" x14ac:dyDescent="0.25">
      <c r="A215" s="28" t="s">
        <v>258</v>
      </c>
      <c r="B215" t="s">
        <v>261</v>
      </c>
      <c r="C215" s="29">
        <v>2000000</v>
      </c>
      <c r="D215" s="29">
        <v>600000</v>
      </c>
    </row>
    <row r="216" spans="1:4" x14ac:dyDescent="0.25">
      <c r="A216" s="28" t="s">
        <v>258</v>
      </c>
      <c r="B216" t="s">
        <v>262</v>
      </c>
      <c r="C216" s="29">
        <v>1946320</v>
      </c>
      <c r="D216" s="29">
        <v>583897</v>
      </c>
    </row>
    <row r="217" spans="1:4" x14ac:dyDescent="0.25">
      <c r="A217" s="28" t="s">
        <v>258</v>
      </c>
      <c r="B217" t="s">
        <v>263</v>
      </c>
      <c r="C217" s="29">
        <v>2000000</v>
      </c>
      <c r="D217" s="29">
        <v>600000</v>
      </c>
    </row>
    <row r="218" spans="1:4" x14ac:dyDescent="0.25">
      <c r="A218" s="28" t="s">
        <v>258</v>
      </c>
      <c r="B218" t="s">
        <v>264</v>
      </c>
      <c r="C218" s="29">
        <v>2000000</v>
      </c>
      <c r="D218" s="29">
        <v>600000</v>
      </c>
    </row>
    <row r="219" spans="1:4" x14ac:dyDescent="0.25">
      <c r="A219" s="28" t="s">
        <v>258</v>
      </c>
      <c r="B219" t="s">
        <v>265</v>
      </c>
      <c r="C219" s="29">
        <v>1863829</v>
      </c>
      <c r="D219" s="29">
        <v>799966</v>
      </c>
    </row>
    <row r="220" spans="1:4" x14ac:dyDescent="0.25">
      <c r="A220" s="28" t="s">
        <v>258</v>
      </c>
      <c r="B220" t="s">
        <v>266</v>
      </c>
      <c r="C220" s="29">
        <v>2000000</v>
      </c>
      <c r="D220" s="29">
        <v>600000</v>
      </c>
    </row>
    <row r="221" spans="1:4" x14ac:dyDescent="0.25">
      <c r="A221" s="28" t="s">
        <v>258</v>
      </c>
      <c r="B221" t="s">
        <v>267</v>
      </c>
      <c r="C221" s="29">
        <v>1999320</v>
      </c>
      <c r="D221" s="29">
        <v>638040</v>
      </c>
    </row>
    <row r="222" spans="1:4" x14ac:dyDescent="0.25">
      <c r="A222" s="28" t="s">
        <v>258</v>
      </c>
      <c r="B222" t="s">
        <v>268</v>
      </c>
      <c r="C222" s="29">
        <v>2000000</v>
      </c>
      <c r="D222" s="29">
        <v>782910</v>
      </c>
    </row>
    <row r="223" spans="1:4" x14ac:dyDescent="0.25">
      <c r="A223" s="28" t="s">
        <v>258</v>
      </c>
      <c r="B223" t="s">
        <v>269</v>
      </c>
      <c r="C223" s="29">
        <v>712000</v>
      </c>
      <c r="D223" s="29">
        <v>306000</v>
      </c>
    </row>
    <row r="224" spans="1:4" x14ac:dyDescent="0.25">
      <c r="A224" s="28" t="s">
        <v>258</v>
      </c>
      <c r="B224" t="s">
        <v>270</v>
      </c>
      <c r="C224" s="29">
        <v>1998788</v>
      </c>
      <c r="D224" s="29">
        <v>873793</v>
      </c>
    </row>
    <row r="225" spans="1:4" x14ac:dyDescent="0.25">
      <c r="A225" s="28" t="s">
        <v>258</v>
      </c>
      <c r="B225" t="s">
        <v>271</v>
      </c>
      <c r="C225" s="29">
        <v>2000000</v>
      </c>
      <c r="D225" s="29">
        <v>600000</v>
      </c>
    </row>
    <row r="226" spans="1:4" x14ac:dyDescent="0.25">
      <c r="A226" s="28" t="s">
        <v>258</v>
      </c>
      <c r="B226" t="s">
        <v>272</v>
      </c>
      <c r="C226" s="29">
        <v>1010000</v>
      </c>
      <c r="D226" s="29">
        <v>800000</v>
      </c>
    </row>
    <row r="227" spans="1:4" x14ac:dyDescent="0.25">
      <c r="A227" s="28" t="s">
        <v>258</v>
      </c>
      <c r="B227" t="s">
        <v>273</v>
      </c>
      <c r="C227" s="29">
        <v>2000000</v>
      </c>
      <c r="D227" s="29">
        <v>600000</v>
      </c>
    </row>
    <row r="228" spans="1:4" x14ac:dyDescent="0.25">
      <c r="A228" s="28" t="s">
        <v>258</v>
      </c>
      <c r="B228" t="s">
        <v>274</v>
      </c>
      <c r="C228" s="29">
        <v>1999794</v>
      </c>
      <c r="D228" s="29">
        <v>630440</v>
      </c>
    </row>
    <row r="229" spans="1:4" x14ac:dyDescent="0.25">
      <c r="A229" s="28" t="s">
        <v>258</v>
      </c>
      <c r="B229" t="s">
        <v>275</v>
      </c>
      <c r="C229" s="29">
        <v>1054012</v>
      </c>
      <c r="D229" s="29">
        <v>451720</v>
      </c>
    </row>
    <row r="230" spans="1:4" x14ac:dyDescent="0.25">
      <c r="A230" s="28" t="s">
        <v>258</v>
      </c>
      <c r="B230" t="s">
        <v>276</v>
      </c>
      <c r="C230" s="29">
        <v>2000000</v>
      </c>
      <c r="D230" s="29">
        <v>600000</v>
      </c>
    </row>
    <row r="231" spans="1:4" x14ac:dyDescent="0.25">
      <c r="A231" s="28" t="s">
        <v>258</v>
      </c>
      <c r="B231" t="s">
        <v>277</v>
      </c>
      <c r="C231" s="29">
        <v>2000000</v>
      </c>
      <c r="D231" s="29">
        <v>600000</v>
      </c>
    </row>
    <row r="232" spans="1:4" x14ac:dyDescent="0.25">
      <c r="A232" s="28" t="s">
        <v>258</v>
      </c>
      <c r="B232" t="s">
        <v>278</v>
      </c>
      <c r="C232" s="29">
        <v>2278819</v>
      </c>
      <c r="D232" s="29">
        <v>976638</v>
      </c>
    </row>
    <row r="233" spans="1:4" x14ac:dyDescent="0.25">
      <c r="A233" s="28" t="s">
        <v>258</v>
      </c>
      <c r="B233" t="s">
        <v>279</v>
      </c>
      <c r="C233" s="29">
        <v>2000000</v>
      </c>
      <c r="D233" s="29">
        <v>871500</v>
      </c>
    </row>
    <row r="234" spans="1:4" x14ac:dyDescent="0.25">
      <c r="A234" s="28" t="s">
        <v>280</v>
      </c>
      <c r="B234" t="s">
        <v>281</v>
      </c>
      <c r="C234" s="29">
        <v>50000000</v>
      </c>
      <c r="D234" s="29">
        <v>111384195</v>
      </c>
    </row>
    <row r="235" spans="1:4" x14ac:dyDescent="0.25">
      <c r="A235" s="28" t="s">
        <v>280</v>
      </c>
      <c r="B235" t="s">
        <v>282</v>
      </c>
      <c r="C235" s="29">
        <v>48471562</v>
      </c>
      <c r="D235" s="29">
        <v>48515000</v>
      </c>
    </row>
    <row r="236" spans="1:4" x14ac:dyDescent="0.25">
      <c r="A236" s="28" t="s">
        <v>280</v>
      </c>
      <c r="B236" t="s">
        <v>283</v>
      </c>
      <c r="C236" s="29">
        <v>29404488</v>
      </c>
      <c r="D236" s="29">
        <v>29901018</v>
      </c>
    </row>
    <row r="237" spans="1:4" x14ac:dyDescent="0.25">
      <c r="A237" s="28" t="s">
        <v>280</v>
      </c>
      <c r="B237" t="s">
        <v>284</v>
      </c>
      <c r="C237" s="29">
        <v>100000000</v>
      </c>
      <c r="D237" s="29">
        <v>273686275</v>
      </c>
    </row>
    <row r="238" spans="1:4" x14ac:dyDescent="0.25">
      <c r="A238" s="28" t="s">
        <v>280</v>
      </c>
      <c r="B238" t="s">
        <v>285</v>
      </c>
      <c r="C238" s="29">
        <v>47528246</v>
      </c>
      <c r="D238" s="29">
        <v>47528246</v>
      </c>
    </row>
    <row r="239" spans="1:4" x14ac:dyDescent="0.25">
      <c r="A239" s="28" t="s">
        <v>280</v>
      </c>
      <c r="B239" t="s">
        <v>286</v>
      </c>
      <c r="C239" s="29">
        <v>80986112</v>
      </c>
      <c r="D239" s="29">
        <v>80986114</v>
      </c>
    </row>
    <row r="240" spans="1:4" x14ac:dyDescent="0.25">
      <c r="A240" s="28" t="s">
        <v>280</v>
      </c>
      <c r="B240" t="s">
        <v>287</v>
      </c>
      <c r="C240" s="29">
        <v>33251611</v>
      </c>
      <c r="D240" s="29">
        <v>34842557</v>
      </c>
    </row>
    <row r="241" spans="1:4" x14ac:dyDescent="0.25">
      <c r="A241" s="28" t="s">
        <v>280</v>
      </c>
      <c r="B241" t="s">
        <v>288</v>
      </c>
      <c r="C241" s="29">
        <v>100000000</v>
      </c>
      <c r="D241" s="29">
        <v>813000000</v>
      </c>
    </row>
    <row r="242" spans="1:4" x14ac:dyDescent="0.25">
      <c r="A242" s="28" t="s">
        <v>280</v>
      </c>
      <c r="B242" t="s">
        <v>289</v>
      </c>
      <c r="C242" s="29">
        <v>100000000</v>
      </c>
      <c r="D242" s="29">
        <v>340000000</v>
      </c>
    </row>
    <row r="243" spans="1:4" x14ac:dyDescent="0.25">
      <c r="A243" s="28" t="s">
        <v>280</v>
      </c>
      <c r="B243" t="s">
        <v>290</v>
      </c>
      <c r="C243" s="29">
        <v>31761834</v>
      </c>
      <c r="D243" s="29">
        <v>55467599</v>
      </c>
    </row>
    <row r="244" spans="1:4" x14ac:dyDescent="0.25">
      <c r="A244" s="28" t="s">
        <v>280</v>
      </c>
      <c r="B244" t="s">
        <v>291</v>
      </c>
      <c r="C244" s="29">
        <v>20238276</v>
      </c>
      <c r="D244" s="29">
        <v>21000000</v>
      </c>
    </row>
    <row r="245" spans="1:4" x14ac:dyDescent="0.25">
      <c r="A245" s="28" t="s">
        <v>280</v>
      </c>
      <c r="B245" t="s">
        <v>292</v>
      </c>
      <c r="C245" s="29">
        <v>92942943</v>
      </c>
      <c r="D245" s="29">
        <v>100700000</v>
      </c>
    </row>
    <row r="246" spans="1:4" x14ac:dyDescent="0.25">
      <c r="A246" s="28" t="s">
        <v>280</v>
      </c>
      <c r="B246" t="s">
        <v>293</v>
      </c>
      <c r="C246" s="29">
        <v>20000000</v>
      </c>
      <c r="D246" s="29">
        <v>20000000</v>
      </c>
    </row>
    <row r="247" spans="1:4" x14ac:dyDescent="0.25">
      <c r="A247" s="28" t="s">
        <v>280</v>
      </c>
      <c r="B247" t="s">
        <v>294</v>
      </c>
      <c r="C247" s="29">
        <v>50000000</v>
      </c>
      <c r="D247" s="29">
        <v>320000000</v>
      </c>
    </row>
    <row r="248" spans="1:4" x14ac:dyDescent="0.25">
      <c r="A248" s="28" t="s">
        <v>280</v>
      </c>
      <c r="B248" t="s">
        <v>295</v>
      </c>
      <c r="C248" s="29">
        <v>20988526</v>
      </c>
      <c r="D248" s="29">
        <v>21252127</v>
      </c>
    </row>
    <row r="249" spans="1:4" x14ac:dyDescent="0.25">
      <c r="A249" s="28" t="s">
        <v>280</v>
      </c>
      <c r="B249" t="s">
        <v>296</v>
      </c>
      <c r="C249" s="29">
        <v>17566111</v>
      </c>
      <c r="D249" s="29">
        <v>17566112</v>
      </c>
    </row>
    <row r="250" spans="1:4" x14ac:dyDescent="0.25">
      <c r="A250" s="28" t="s">
        <v>280</v>
      </c>
      <c r="B250" t="s">
        <v>297</v>
      </c>
      <c r="C250" s="29">
        <v>25000000</v>
      </c>
      <c r="D250" s="29">
        <v>25000000</v>
      </c>
    </row>
    <row r="251" spans="1:4" x14ac:dyDescent="0.25">
      <c r="A251" s="28" t="s">
        <v>280</v>
      </c>
      <c r="B251" t="s">
        <v>298</v>
      </c>
      <c r="C251" s="29">
        <v>29819258</v>
      </c>
      <c r="D251" s="29">
        <v>39565479</v>
      </c>
    </row>
    <row r="252" spans="1:4" x14ac:dyDescent="0.25">
      <c r="A252" s="28" t="s">
        <v>280</v>
      </c>
      <c r="B252" t="s">
        <v>299</v>
      </c>
      <c r="C252" s="29">
        <v>50000000</v>
      </c>
      <c r="D252" s="29">
        <v>50000000</v>
      </c>
    </row>
    <row r="253" spans="1:4" x14ac:dyDescent="0.25">
      <c r="A253" s="28" t="s">
        <v>280</v>
      </c>
      <c r="B253" t="s">
        <v>300</v>
      </c>
      <c r="C253" s="29">
        <v>23487299</v>
      </c>
      <c r="D253" s="29">
        <v>23487300</v>
      </c>
    </row>
    <row r="254" spans="1:4" x14ac:dyDescent="0.25">
      <c r="A254" s="28" t="s">
        <v>280</v>
      </c>
      <c r="B254" t="s">
        <v>301</v>
      </c>
      <c r="C254" s="29">
        <v>5886050</v>
      </c>
      <c r="D254" s="29">
        <v>5886050</v>
      </c>
    </row>
    <row r="255" spans="1:4" x14ac:dyDescent="0.25">
      <c r="A255" s="28" t="s">
        <v>280</v>
      </c>
      <c r="B255" t="s">
        <v>302</v>
      </c>
      <c r="C255" s="29">
        <v>15750000</v>
      </c>
      <c r="D255" s="29">
        <v>15750000</v>
      </c>
    </row>
    <row r="256" spans="1:4" x14ac:dyDescent="0.25">
      <c r="A256" s="28" t="s">
        <v>280</v>
      </c>
      <c r="B256" t="s">
        <v>303</v>
      </c>
      <c r="C256" s="29">
        <v>92124920</v>
      </c>
      <c r="D256" s="29">
        <v>107796851</v>
      </c>
    </row>
    <row r="257" spans="1:4" x14ac:dyDescent="0.25">
      <c r="A257" s="28" t="s">
        <v>280</v>
      </c>
      <c r="B257" t="s">
        <v>304</v>
      </c>
      <c r="C257" s="29">
        <v>10036254</v>
      </c>
      <c r="D257" s="29">
        <v>10200000</v>
      </c>
    </row>
    <row r="258" spans="1:4" x14ac:dyDescent="0.25">
      <c r="A258" s="28" t="s">
        <v>280</v>
      </c>
      <c r="B258" t="s">
        <v>305</v>
      </c>
      <c r="C258" s="29">
        <v>15200000</v>
      </c>
      <c r="D258" s="29">
        <v>18590000</v>
      </c>
    </row>
    <row r="259" spans="1:4" x14ac:dyDescent="0.25">
      <c r="A259" s="28" t="s">
        <v>280</v>
      </c>
      <c r="B259" t="s">
        <v>306</v>
      </c>
      <c r="C259" s="29">
        <v>19974887</v>
      </c>
      <c r="D259" s="29">
        <v>20023430</v>
      </c>
    </row>
    <row r="260" spans="1:4" x14ac:dyDescent="0.25">
      <c r="A260" s="28" t="s">
        <v>280</v>
      </c>
      <c r="B260" t="s">
        <v>307</v>
      </c>
      <c r="C260" s="29">
        <v>50000000</v>
      </c>
      <c r="D260" s="29">
        <v>110000000</v>
      </c>
    </row>
    <row r="261" spans="1:4" x14ac:dyDescent="0.25">
      <c r="A261" s="28" t="s">
        <v>280</v>
      </c>
      <c r="B261" t="s">
        <v>308</v>
      </c>
      <c r="C261" s="29">
        <v>10297510</v>
      </c>
      <c r="D261" s="29">
        <v>10633506</v>
      </c>
    </row>
    <row r="262" spans="1:4" x14ac:dyDescent="0.25">
      <c r="A262" s="28" t="s">
        <v>309</v>
      </c>
      <c r="B262" t="s">
        <v>310</v>
      </c>
      <c r="C262" s="29">
        <v>3</v>
      </c>
      <c r="D262" s="29">
        <v>0</v>
      </c>
    </row>
    <row r="263" spans="1:4" x14ac:dyDescent="0.25">
      <c r="A263" s="28" t="s">
        <v>309</v>
      </c>
      <c r="B263" t="s">
        <v>311</v>
      </c>
      <c r="C263" s="29">
        <v>1469901</v>
      </c>
      <c r="D263" s="29">
        <v>165869</v>
      </c>
    </row>
    <row r="264" spans="1:4" x14ac:dyDescent="0.25">
      <c r="A264" s="28" t="s">
        <v>309</v>
      </c>
      <c r="B264" t="s">
        <v>312</v>
      </c>
      <c r="C264" s="29">
        <v>1734987</v>
      </c>
      <c r="D264" s="29">
        <v>0</v>
      </c>
    </row>
    <row r="265" spans="1:4" x14ac:dyDescent="0.25">
      <c r="A265" s="28" t="s">
        <v>309</v>
      </c>
      <c r="B265" t="s">
        <v>313</v>
      </c>
      <c r="C265" s="29">
        <v>3000000</v>
      </c>
      <c r="D265" s="29">
        <v>300000</v>
      </c>
    </row>
    <row r="266" spans="1:4" x14ac:dyDescent="0.25">
      <c r="A266" s="28" t="s">
        <v>309</v>
      </c>
      <c r="B266" t="s">
        <v>314</v>
      </c>
      <c r="C266" s="29">
        <v>2992119</v>
      </c>
      <c r="D266" s="29">
        <v>0</v>
      </c>
    </row>
    <row r="267" spans="1:4" x14ac:dyDescent="0.25">
      <c r="A267" s="28" t="s">
        <v>309</v>
      </c>
      <c r="B267" t="s">
        <v>315</v>
      </c>
      <c r="C267" s="29">
        <v>1774106</v>
      </c>
      <c r="D267" s="29">
        <v>0</v>
      </c>
    </row>
    <row r="268" spans="1:4" x14ac:dyDescent="0.25">
      <c r="A268" s="28" t="s">
        <v>309</v>
      </c>
      <c r="B268" t="s">
        <v>316</v>
      </c>
      <c r="C268" s="29">
        <v>1448209</v>
      </c>
      <c r="D268" s="29">
        <v>0</v>
      </c>
    </row>
    <row r="269" spans="1:4" x14ac:dyDescent="0.25">
      <c r="A269" s="28" t="s">
        <v>309</v>
      </c>
      <c r="B269" t="s">
        <v>317</v>
      </c>
      <c r="C269" s="29">
        <v>2566387</v>
      </c>
      <c r="D269" s="29">
        <v>500000</v>
      </c>
    </row>
    <row r="270" spans="1:4" x14ac:dyDescent="0.25">
      <c r="A270" s="28" t="s">
        <v>309</v>
      </c>
      <c r="B270" t="s">
        <v>318</v>
      </c>
      <c r="C270" s="29">
        <v>2265359</v>
      </c>
      <c r="D270" s="29">
        <v>0</v>
      </c>
    </row>
    <row r="271" spans="1:4" x14ac:dyDescent="0.25">
      <c r="A271" s="28" t="s">
        <v>309</v>
      </c>
      <c r="B271" t="s">
        <v>319</v>
      </c>
      <c r="C271" s="29">
        <v>2900000</v>
      </c>
      <c r="D271" s="29">
        <v>100000</v>
      </c>
    </row>
    <row r="272" spans="1:4" x14ac:dyDescent="0.25">
      <c r="A272" s="28" t="s">
        <v>309</v>
      </c>
      <c r="B272" t="s">
        <v>320</v>
      </c>
      <c r="C272" s="29">
        <v>1950000</v>
      </c>
      <c r="D272" s="29">
        <v>0</v>
      </c>
    </row>
    <row r="273" spans="1:4" x14ac:dyDescent="0.25">
      <c r="A273" s="28" t="s">
        <v>309</v>
      </c>
      <c r="B273" t="s">
        <v>321</v>
      </c>
      <c r="C273" s="29">
        <v>500000</v>
      </c>
      <c r="D273" s="29">
        <v>0</v>
      </c>
    </row>
    <row r="274" spans="1:4" x14ac:dyDescent="0.25">
      <c r="A274" s="28" t="s">
        <v>309</v>
      </c>
      <c r="B274" t="s">
        <v>322</v>
      </c>
      <c r="C274" s="29">
        <v>850000</v>
      </c>
      <c r="D274" s="29">
        <v>450000</v>
      </c>
    </row>
    <row r="275" spans="1:4" x14ac:dyDescent="0.25">
      <c r="A275" s="28" t="s">
        <v>309</v>
      </c>
      <c r="B275" t="s">
        <v>323</v>
      </c>
      <c r="C275" s="29">
        <v>3000000</v>
      </c>
      <c r="D275" s="29">
        <v>0</v>
      </c>
    </row>
    <row r="276" spans="1:4" x14ac:dyDescent="0.25">
      <c r="A276" s="28" t="s">
        <v>309</v>
      </c>
      <c r="B276" t="s">
        <v>324</v>
      </c>
      <c r="C276" s="29">
        <v>2064744</v>
      </c>
      <c r="D276" s="29">
        <v>0</v>
      </c>
    </row>
    <row r="277" spans="1:4" x14ac:dyDescent="0.25">
      <c r="A277" s="28" t="s">
        <v>309</v>
      </c>
      <c r="B277" t="s">
        <v>325</v>
      </c>
      <c r="C277" s="29">
        <v>3000000</v>
      </c>
      <c r="D277" s="29">
        <v>0</v>
      </c>
    </row>
    <row r="278" spans="1:4" x14ac:dyDescent="0.25">
      <c r="A278" s="28" t="s">
        <v>309</v>
      </c>
      <c r="B278" t="s">
        <v>326</v>
      </c>
      <c r="C278" s="29">
        <v>0</v>
      </c>
      <c r="D278" s="29">
        <v>1000000</v>
      </c>
    </row>
    <row r="279" spans="1:4" x14ac:dyDescent="0.25">
      <c r="A279" s="28" t="s">
        <v>309</v>
      </c>
      <c r="B279" t="s">
        <v>327</v>
      </c>
      <c r="C279" s="29">
        <v>3000000</v>
      </c>
      <c r="D279" s="29">
        <v>0</v>
      </c>
    </row>
    <row r="280" spans="1:4" x14ac:dyDescent="0.25">
      <c r="A280" s="28" t="s">
        <v>309</v>
      </c>
      <c r="B280" t="s">
        <v>328</v>
      </c>
      <c r="C280" s="29">
        <v>1311595</v>
      </c>
      <c r="D280" s="29">
        <v>14832</v>
      </c>
    </row>
    <row r="281" spans="1:4" x14ac:dyDescent="0.25">
      <c r="A281" s="28" t="s">
        <v>309</v>
      </c>
      <c r="B281" t="s">
        <v>329</v>
      </c>
      <c r="C281" s="29">
        <v>2323575</v>
      </c>
      <c r="D281" s="29">
        <v>0</v>
      </c>
    </row>
    <row r="282" spans="1:4" x14ac:dyDescent="0.25">
      <c r="A282" s="28" t="s">
        <v>309</v>
      </c>
      <c r="B282" t="s">
        <v>330</v>
      </c>
      <c r="C282" s="29">
        <v>450000</v>
      </c>
      <c r="D282" s="29">
        <v>450000</v>
      </c>
    </row>
    <row r="283" spans="1:4" x14ac:dyDescent="0.25">
      <c r="A283" s="28" t="s">
        <v>309</v>
      </c>
      <c r="B283" t="s">
        <v>331</v>
      </c>
      <c r="C283" s="29">
        <v>750000</v>
      </c>
      <c r="D283" s="29">
        <v>750000</v>
      </c>
    </row>
    <row r="284" spans="1:4" x14ac:dyDescent="0.25">
      <c r="A284" s="28" t="s">
        <v>309</v>
      </c>
      <c r="B284" t="s">
        <v>332</v>
      </c>
      <c r="C284" s="29">
        <v>3279938</v>
      </c>
      <c r="D284" s="29">
        <v>1490400</v>
      </c>
    </row>
    <row r="285" spans="1:4" x14ac:dyDescent="0.25">
      <c r="A285" s="28" t="s">
        <v>309</v>
      </c>
      <c r="B285" t="s">
        <v>333</v>
      </c>
      <c r="C285" s="29">
        <v>1500000</v>
      </c>
      <c r="D285" s="29">
        <v>104944</v>
      </c>
    </row>
    <row r="286" spans="1:4" x14ac:dyDescent="0.25">
      <c r="A286" s="28" t="s">
        <v>309</v>
      </c>
      <c r="B286" t="s">
        <v>334</v>
      </c>
      <c r="C286" s="29">
        <v>732664</v>
      </c>
      <c r="D286" s="29">
        <v>0</v>
      </c>
    </row>
    <row r="287" spans="1:4" x14ac:dyDescent="0.25">
      <c r="A287" s="28" t="s">
        <v>309</v>
      </c>
      <c r="B287" t="s">
        <v>335</v>
      </c>
      <c r="C287" s="29">
        <v>0</v>
      </c>
      <c r="D287" s="29">
        <v>0</v>
      </c>
    </row>
    <row r="288" spans="1:4" x14ac:dyDescent="0.25">
      <c r="A288" s="28" t="s">
        <v>309</v>
      </c>
      <c r="B288" t="s">
        <v>336</v>
      </c>
      <c r="C288" s="29">
        <v>1100000</v>
      </c>
      <c r="D288" s="29">
        <v>75000</v>
      </c>
    </row>
    <row r="289" spans="1:4" x14ac:dyDescent="0.25">
      <c r="A289" s="28" t="s">
        <v>309</v>
      </c>
      <c r="B289" t="s">
        <v>337</v>
      </c>
      <c r="C289" s="29">
        <v>1099527</v>
      </c>
      <c r="D289" s="29">
        <v>51846</v>
      </c>
    </row>
    <row r="290" spans="1:4" x14ac:dyDescent="0.25">
      <c r="A290" s="28" t="s">
        <v>309</v>
      </c>
      <c r="B290" t="s">
        <v>338</v>
      </c>
      <c r="C290" s="29">
        <v>1100000</v>
      </c>
      <c r="D290" s="29">
        <v>0</v>
      </c>
    </row>
    <row r="291" spans="1:4" x14ac:dyDescent="0.25">
      <c r="A291" s="28" t="s">
        <v>309</v>
      </c>
      <c r="B291" t="s">
        <v>339</v>
      </c>
      <c r="C291" s="29">
        <v>1082023</v>
      </c>
      <c r="D291" s="29">
        <v>0</v>
      </c>
    </row>
    <row r="292" spans="1:4" x14ac:dyDescent="0.25">
      <c r="A292" s="28" t="s">
        <v>309</v>
      </c>
      <c r="B292" t="s">
        <v>340</v>
      </c>
      <c r="C292" s="29">
        <v>1100000</v>
      </c>
      <c r="D292" s="29">
        <v>255540</v>
      </c>
    </row>
    <row r="293" spans="1:4" x14ac:dyDescent="0.25">
      <c r="A293" s="28" t="s">
        <v>309</v>
      </c>
      <c r="B293" t="s">
        <v>341</v>
      </c>
      <c r="C293" s="29">
        <v>1100000</v>
      </c>
      <c r="D293" s="29">
        <v>0</v>
      </c>
    </row>
    <row r="294" spans="1:4" x14ac:dyDescent="0.25">
      <c r="A294" s="28" t="s">
        <v>309</v>
      </c>
      <c r="B294" t="s">
        <v>342</v>
      </c>
      <c r="C294" s="29">
        <v>1073916</v>
      </c>
      <c r="D294" s="29">
        <v>0</v>
      </c>
    </row>
    <row r="295" spans="1:4" x14ac:dyDescent="0.25">
      <c r="A295" s="28" t="s">
        <v>309</v>
      </c>
      <c r="B295" t="s">
        <v>343</v>
      </c>
      <c r="C295" s="29">
        <v>1100000</v>
      </c>
      <c r="D295" s="29">
        <v>0</v>
      </c>
    </row>
    <row r="296" spans="1:4" x14ac:dyDescent="0.25">
      <c r="A296" s="28" t="s">
        <v>309</v>
      </c>
      <c r="B296" t="s">
        <v>344</v>
      </c>
      <c r="C296" s="29">
        <v>1100000</v>
      </c>
      <c r="D296" s="29">
        <v>0</v>
      </c>
    </row>
    <row r="297" spans="1:4" x14ac:dyDescent="0.25">
      <c r="A297" s="28" t="s">
        <v>309</v>
      </c>
      <c r="B297" t="s">
        <v>345</v>
      </c>
      <c r="C297" s="29">
        <v>1098794</v>
      </c>
      <c r="D297" s="29">
        <v>0</v>
      </c>
    </row>
    <row r="298" spans="1:4" x14ac:dyDescent="0.25">
      <c r="A298" s="28" t="s">
        <v>309</v>
      </c>
      <c r="B298" t="s">
        <v>346</v>
      </c>
      <c r="C298" s="29">
        <v>1098879</v>
      </c>
      <c r="D298" s="29">
        <v>0</v>
      </c>
    </row>
    <row r="299" spans="1:4" x14ac:dyDescent="0.25">
      <c r="A299" s="28" t="s">
        <v>309</v>
      </c>
      <c r="B299" t="s">
        <v>347</v>
      </c>
      <c r="C299" s="29">
        <v>1100000</v>
      </c>
      <c r="D299" s="29">
        <v>0</v>
      </c>
    </row>
    <row r="300" spans="1:4" x14ac:dyDescent="0.25">
      <c r="A300" s="28" t="s">
        <v>309</v>
      </c>
      <c r="B300" t="s">
        <v>348</v>
      </c>
      <c r="C300" s="29">
        <v>1100000</v>
      </c>
      <c r="D300" s="29">
        <v>0</v>
      </c>
    </row>
    <row r="301" spans="1:4" x14ac:dyDescent="0.25">
      <c r="A301" s="28" t="s">
        <v>309</v>
      </c>
      <c r="B301" t="s">
        <v>349</v>
      </c>
      <c r="C301" s="29">
        <v>1100000</v>
      </c>
      <c r="D301" s="29">
        <v>0</v>
      </c>
    </row>
    <row r="302" spans="1:4" x14ac:dyDescent="0.25">
      <c r="A302" s="28" t="s">
        <v>309</v>
      </c>
      <c r="B302" t="s">
        <v>350</v>
      </c>
      <c r="C302" s="29">
        <v>1099998</v>
      </c>
      <c r="D302" s="29">
        <v>25000</v>
      </c>
    </row>
    <row r="303" spans="1:4" x14ac:dyDescent="0.25">
      <c r="A303" s="28" t="s">
        <v>309</v>
      </c>
      <c r="B303" t="s">
        <v>351</v>
      </c>
      <c r="C303" s="29">
        <v>1099598</v>
      </c>
      <c r="D303" s="29">
        <v>0</v>
      </c>
    </row>
    <row r="304" spans="1:4" x14ac:dyDescent="0.25">
      <c r="A304" s="28" t="s">
        <v>309</v>
      </c>
      <c r="B304" t="s">
        <v>352</v>
      </c>
      <c r="C304" s="29">
        <v>1099973</v>
      </c>
      <c r="D304" s="29">
        <v>0</v>
      </c>
    </row>
    <row r="305" spans="1:4" x14ac:dyDescent="0.25">
      <c r="A305" s="28" t="s">
        <v>309</v>
      </c>
      <c r="B305" t="s">
        <v>353</v>
      </c>
      <c r="C305" s="29">
        <v>1100000</v>
      </c>
      <c r="D305" s="29">
        <v>220000</v>
      </c>
    </row>
    <row r="306" spans="1:4" x14ac:dyDescent="0.25">
      <c r="A306" s="28" t="s">
        <v>309</v>
      </c>
      <c r="B306" t="s">
        <v>354</v>
      </c>
      <c r="C306" s="29">
        <v>1100000</v>
      </c>
      <c r="D306" s="29">
        <v>0</v>
      </c>
    </row>
    <row r="307" spans="1:4" x14ac:dyDescent="0.25">
      <c r="A307" s="28" t="s">
        <v>309</v>
      </c>
      <c r="B307" t="s">
        <v>355</v>
      </c>
      <c r="C307" s="29">
        <v>1097482</v>
      </c>
      <c r="D307" s="29">
        <v>0</v>
      </c>
    </row>
    <row r="308" spans="1:4" x14ac:dyDescent="0.25">
      <c r="A308" s="28" t="s">
        <v>309</v>
      </c>
      <c r="B308" t="s">
        <v>356</v>
      </c>
      <c r="C308" s="29">
        <v>1100000</v>
      </c>
      <c r="D308" s="29">
        <v>0</v>
      </c>
    </row>
    <row r="309" spans="1:4" x14ac:dyDescent="0.25">
      <c r="A309" s="28" t="s">
        <v>309</v>
      </c>
      <c r="B309" t="s">
        <v>357</v>
      </c>
      <c r="C309" s="29">
        <v>1099978</v>
      </c>
      <c r="D309" s="29">
        <v>0</v>
      </c>
    </row>
    <row r="310" spans="1:4" x14ac:dyDescent="0.25">
      <c r="A310" s="28" t="s">
        <v>309</v>
      </c>
      <c r="B310" t="s">
        <v>358</v>
      </c>
      <c r="C310" s="29">
        <v>1070415</v>
      </c>
      <c r="D310" s="29">
        <v>496617</v>
      </c>
    </row>
    <row r="311" spans="1:4" x14ac:dyDescent="0.25">
      <c r="A311" s="28" t="s">
        <v>309</v>
      </c>
      <c r="B311" t="s">
        <v>359</v>
      </c>
      <c r="C311" s="29">
        <v>1097649</v>
      </c>
      <c r="D311" s="29">
        <v>67500</v>
      </c>
    </row>
    <row r="312" spans="1:4" x14ac:dyDescent="0.25">
      <c r="A312" s="28" t="s">
        <v>309</v>
      </c>
      <c r="B312" t="s">
        <v>360</v>
      </c>
      <c r="C312" s="29">
        <v>1100000</v>
      </c>
      <c r="D312" s="29">
        <v>0</v>
      </c>
    </row>
    <row r="313" spans="1:4" x14ac:dyDescent="0.25">
      <c r="A313" s="28" t="s">
        <v>309</v>
      </c>
      <c r="B313" t="s">
        <v>361</v>
      </c>
      <c r="C313" s="29">
        <v>1008792</v>
      </c>
      <c r="D313" s="29">
        <v>0</v>
      </c>
    </row>
    <row r="314" spans="1:4" x14ac:dyDescent="0.25">
      <c r="A314" s="28" t="s">
        <v>309</v>
      </c>
      <c r="B314" t="s">
        <v>362</v>
      </c>
      <c r="C314" s="29">
        <v>1100000</v>
      </c>
      <c r="D314" s="29">
        <v>0</v>
      </c>
    </row>
    <row r="315" spans="1:4" x14ac:dyDescent="0.25">
      <c r="A315" s="28" t="s">
        <v>309</v>
      </c>
      <c r="B315" t="s">
        <v>363</v>
      </c>
      <c r="C315" s="29">
        <v>1099921</v>
      </c>
      <c r="D315" s="29">
        <v>0</v>
      </c>
    </row>
    <row r="316" spans="1:4" x14ac:dyDescent="0.25">
      <c r="A316" s="28" t="s">
        <v>309</v>
      </c>
      <c r="B316" t="s">
        <v>364</v>
      </c>
      <c r="C316" s="29">
        <v>1100000</v>
      </c>
      <c r="D316" s="29">
        <v>194486</v>
      </c>
    </row>
    <row r="317" spans="1:4" x14ac:dyDescent="0.25">
      <c r="A317" s="28" t="s">
        <v>309</v>
      </c>
      <c r="B317" t="s">
        <v>365</v>
      </c>
      <c r="C317" s="29">
        <v>1099568</v>
      </c>
      <c r="D317" s="29">
        <v>0</v>
      </c>
    </row>
    <row r="318" spans="1:4" x14ac:dyDescent="0.25">
      <c r="A318" s="28" t="s">
        <v>309</v>
      </c>
      <c r="B318" t="s">
        <v>366</v>
      </c>
      <c r="C318" s="29">
        <v>1135010</v>
      </c>
      <c r="D318" s="29">
        <v>574225</v>
      </c>
    </row>
    <row r="319" spans="1:4" x14ac:dyDescent="0.25">
      <c r="A319" s="30" t="s">
        <v>367</v>
      </c>
      <c r="B319" t="s">
        <v>368</v>
      </c>
      <c r="C319" s="29">
        <v>2537700</v>
      </c>
      <c r="D319" s="29">
        <v>2677050</v>
      </c>
    </row>
    <row r="320" spans="1:4" x14ac:dyDescent="0.25">
      <c r="A320" s="30" t="s">
        <v>367</v>
      </c>
      <c r="B320" t="s">
        <v>369</v>
      </c>
      <c r="C320" s="29">
        <v>10243118</v>
      </c>
      <c r="D320" s="29">
        <v>10243119</v>
      </c>
    </row>
    <row r="321" spans="1:4" x14ac:dyDescent="0.25">
      <c r="A321" s="30" t="s">
        <v>367</v>
      </c>
      <c r="B321" t="s">
        <v>370</v>
      </c>
      <c r="C321" s="29">
        <v>7500000</v>
      </c>
      <c r="D321" s="29">
        <v>7500000</v>
      </c>
    </row>
    <row r="322" spans="1:4" x14ac:dyDescent="0.25">
      <c r="A322" s="30" t="s">
        <v>371</v>
      </c>
      <c r="B322" t="s">
        <v>372</v>
      </c>
      <c r="C322" s="29">
        <v>10243118</v>
      </c>
      <c r="D322" s="29">
        <v>10243119</v>
      </c>
    </row>
    <row r="323" spans="1:4" x14ac:dyDescent="0.25">
      <c r="A323" s="30" t="s">
        <v>371</v>
      </c>
      <c r="B323" t="s">
        <v>373</v>
      </c>
      <c r="C323" s="29">
        <v>7490945</v>
      </c>
      <c r="D323" s="29">
        <v>8697226</v>
      </c>
    </row>
    <row r="324" spans="1:4" x14ac:dyDescent="0.25">
      <c r="A324" s="30" t="s">
        <v>374</v>
      </c>
      <c r="B324" t="s">
        <v>375</v>
      </c>
      <c r="C324" s="29">
        <v>300000000</v>
      </c>
      <c r="D324" s="29">
        <v>300137015</v>
      </c>
    </row>
    <row r="325" spans="1:4" x14ac:dyDescent="0.25">
      <c r="A325" s="30" t="s">
        <v>374</v>
      </c>
      <c r="B325" t="s">
        <v>376</v>
      </c>
      <c r="C325" s="29">
        <v>149967150</v>
      </c>
      <c r="D325" s="29">
        <v>150000000</v>
      </c>
    </row>
    <row r="326" spans="1:4" x14ac:dyDescent="0.25">
      <c r="A326" s="30" t="s">
        <v>374</v>
      </c>
      <c r="B326" t="s">
        <v>377</v>
      </c>
      <c r="C326" s="29">
        <v>298000001</v>
      </c>
      <c r="D326" s="29">
        <v>298462378</v>
      </c>
    </row>
    <row r="327" spans="1:4" x14ac:dyDescent="0.25">
      <c r="A327" s="30" t="s">
        <v>374</v>
      </c>
      <c r="B327" t="s">
        <v>378</v>
      </c>
      <c r="C327" s="29">
        <v>294121202</v>
      </c>
      <c r="D327" s="29">
        <v>2245323036</v>
      </c>
    </row>
    <row r="328" spans="1:4" x14ac:dyDescent="0.25">
      <c r="A328" s="30" t="s">
        <v>374</v>
      </c>
      <c r="B328" t="s">
        <v>379</v>
      </c>
      <c r="C328" s="29">
        <v>300000000</v>
      </c>
      <c r="D328" s="29">
        <v>300000000</v>
      </c>
    </row>
    <row r="329" spans="1:4" x14ac:dyDescent="0.25">
      <c r="A329" s="30" t="s">
        <v>374</v>
      </c>
      <c r="B329" t="s">
        <v>380</v>
      </c>
      <c r="C329" s="29">
        <v>136276280</v>
      </c>
      <c r="D329" s="29">
        <v>172903164</v>
      </c>
    </row>
    <row r="330" spans="1:4" x14ac:dyDescent="0.25">
      <c r="A330" s="30" t="s">
        <v>374</v>
      </c>
      <c r="B330" t="s">
        <v>381</v>
      </c>
      <c r="C330" s="29">
        <v>300000000</v>
      </c>
      <c r="D330" s="29">
        <v>676523999</v>
      </c>
    </row>
    <row r="331" spans="1:4" x14ac:dyDescent="0.25">
      <c r="A331" s="30" t="s">
        <v>374</v>
      </c>
      <c r="B331" t="s">
        <v>382</v>
      </c>
      <c r="C331" s="29">
        <v>162021419</v>
      </c>
      <c r="D331" s="29">
        <v>164862901</v>
      </c>
    </row>
    <row r="332" spans="1:4" x14ac:dyDescent="0.25">
      <c r="A332" s="30" t="s">
        <v>374</v>
      </c>
      <c r="B332" t="s">
        <v>383</v>
      </c>
      <c r="C332" s="29">
        <v>300000000</v>
      </c>
      <c r="D332" s="29">
        <v>936426877</v>
      </c>
    </row>
    <row r="333" spans="1:4" x14ac:dyDescent="0.25">
      <c r="A333" s="30" t="s">
        <v>374</v>
      </c>
      <c r="B333" t="s">
        <v>384</v>
      </c>
      <c r="C333" s="29">
        <v>96866877</v>
      </c>
      <c r="D333" s="29">
        <v>96866877</v>
      </c>
    </row>
    <row r="334" spans="1:4" x14ac:dyDescent="0.25">
      <c r="A334" s="30" t="s">
        <v>374</v>
      </c>
      <c r="B334" t="s">
        <v>385</v>
      </c>
      <c r="C334" s="29">
        <v>97428856</v>
      </c>
      <c r="D334" s="29">
        <v>97428856</v>
      </c>
    </row>
    <row r="335" spans="1:4" x14ac:dyDescent="0.25">
      <c r="A335" s="30" t="s">
        <v>374</v>
      </c>
      <c r="B335" t="s">
        <v>386</v>
      </c>
      <c r="C335" s="29">
        <v>299453149</v>
      </c>
      <c r="D335" s="29">
        <v>1755933251</v>
      </c>
    </row>
    <row r="336" spans="1:4" x14ac:dyDescent="0.25">
      <c r="A336" s="30" t="s">
        <v>374</v>
      </c>
      <c r="B336" t="s">
        <v>387</v>
      </c>
      <c r="C336" s="29">
        <v>100556005</v>
      </c>
      <c r="D336" s="29">
        <v>100600000</v>
      </c>
    </row>
    <row r="337" spans="1:4" x14ac:dyDescent="0.25">
      <c r="A337" s="30" t="s">
        <v>374</v>
      </c>
      <c r="B337" t="s">
        <v>388</v>
      </c>
      <c r="C337" s="29">
        <v>100000000</v>
      </c>
      <c r="D337" s="29">
        <v>1682122142</v>
      </c>
    </row>
    <row r="338" spans="1:4" x14ac:dyDescent="0.25">
      <c r="A338" s="30" t="s">
        <v>374</v>
      </c>
      <c r="B338" t="s">
        <v>389</v>
      </c>
      <c r="C338" s="29">
        <v>125000000</v>
      </c>
      <c r="D338" s="29">
        <v>570497850</v>
      </c>
    </row>
    <row r="339" spans="1:4" x14ac:dyDescent="0.25">
      <c r="A339" s="30" t="s">
        <v>374</v>
      </c>
      <c r="B339" t="s">
        <v>390</v>
      </c>
      <c r="C339" s="29">
        <v>252906892</v>
      </c>
      <c r="D339" s="29">
        <v>292447668</v>
      </c>
    </row>
    <row r="340" spans="1:4" x14ac:dyDescent="0.25">
      <c r="A340" s="30" t="s">
        <v>374</v>
      </c>
      <c r="B340" t="s">
        <v>391</v>
      </c>
      <c r="C340" s="29">
        <v>250358831</v>
      </c>
      <c r="D340" s="29">
        <v>3828673934</v>
      </c>
    </row>
    <row r="341" spans="1:4" x14ac:dyDescent="0.25">
      <c r="A341" s="30" t="s">
        <v>374</v>
      </c>
      <c r="B341" t="s">
        <v>392</v>
      </c>
      <c r="C341" s="29">
        <v>200000000</v>
      </c>
      <c r="D341" s="29">
        <v>317578874</v>
      </c>
    </row>
    <row r="342" spans="1:4" x14ac:dyDescent="0.25">
      <c r="A342" s="30" t="s">
        <v>374</v>
      </c>
      <c r="B342" t="s">
        <v>393</v>
      </c>
      <c r="C342" s="29">
        <v>240801106</v>
      </c>
      <c r="D342" s="29">
        <v>445024638</v>
      </c>
    </row>
    <row r="343" spans="1:4" x14ac:dyDescent="0.25">
      <c r="A343" s="30" t="s">
        <v>374</v>
      </c>
      <c r="B343" t="s">
        <v>394</v>
      </c>
      <c r="C343" s="29">
        <v>125451935</v>
      </c>
      <c r="D343" s="29">
        <v>125451935</v>
      </c>
    </row>
    <row r="344" spans="1:4" x14ac:dyDescent="0.25">
      <c r="A344" s="30" t="s">
        <v>374</v>
      </c>
      <c r="B344" t="s">
        <v>395</v>
      </c>
      <c r="C344" s="29">
        <v>54846552</v>
      </c>
      <c r="D344" s="29">
        <v>54846552</v>
      </c>
    </row>
    <row r="345" spans="1:4" x14ac:dyDescent="0.25">
      <c r="A345" s="30" t="s">
        <v>374</v>
      </c>
      <c r="B345" t="s">
        <v>396</v>
      </c>
      <c r="C345" s="29">
        <v>300000000</v>
      </c>
      <c r="D345" s="29">
        <v>5868667937</v>
      </c>
    </row>
    <row r="346" spans="1:4" x14ac:dyDescent="0.25">
      <c r="A346" s="30" t="s">
        <v>374</v>
      </c>
      <c r="B346" t="s">
        <v>397</v>
      </c>
      <c r="C346" s="29">
        <v>300000000</v>
      </c>
      <c r="D346" s="29">
        <v>776109709</v>
      </c>
    </row>
    <row r="347" spans="1:4" x14ac:dyDescent="0.25">
      <c r="A347" s="30" t="s">
        <v>374</v>
      </c>
      <c r="B347" t="s">
        <v>398</v>
      </c>
      <c r="C347" s="29">
        <v>132500000</v>
      </c>
      <c r="D347" s="29">
        <v>132500000</v>
      </c>
    </row>
    <row r="348" spans="1:4" x14ac:dyDescent="0.25">
      <c r="A348" s="30" t="s">
        <v>374</v>
      </c>
      <c r="B348" t="s">
        <v>399</v>
      </c>
      <c r="C348" s="29">
        <v>161012417</v>
      </c>
      <c r="D348" s="29">
        <v>168314291</v>
      </c>
    </row>
    <row r="349" spans="1:4" x14ac:dyDescent="0.25">
      <c r="A349" s="30" t="s">
        <v>374</v>
      </c>
      <c r="B349" t="s">
        <v>400</v>
      </c>
      <c r="C349" s="29">
        <v>280000000</v>
      </c>
      <c r="D349" s="29">
        <v>1338048946</v>
      </c>
    </row>
    <row r="350" spans="1:4" x14ac:dyDescent="0.25">
      <c r="A350" s="30" t="s">
        <v>374</v>
      </c>
      <c r="B350" t="s">
        <v>401</v>
      </c>
      <c r="C350" s="29">
        <v>137152986</v>
      </c>
      <c r="D350" s="29">
        <v>142442927</v>
      </c>
    </row>
    <row r="351" spans="1:4" x14ac:dyDescent="0.25">
      <c r="A351" s="30" t="s">
        <v>374</v>
      </c>
      <c r="B351" t="s">
        <v>402</v>
      </c>
      <c r="C351" s="29">
        <v>100010910</v>
      </c>
      <c r="D351" s="29">
        <v>113176445</v>
      </c>
    </row>
    <row r="352" spans="1:4" x14ac:dyDescent="0.25">
      <c r="A352" s="30" t="s">
        <v>374</v>
      </c>
      <c r="B352" t="s">
        <v>403</v>
      </c>
      <c r="C352" s="29">
        <v>5000000</v>
      </c>
      <c r="D352" s="29">
        <v>5000000</v>
      </c>
    </row>
    <row r="353" spans="1:4" x14ac:dyDescent="0.25">
      <c r="A353" s="30" t="s">
        <v>374</v>
      </c>
      <c r="B353" t="s">
        <v>404</v>
      </c>
      <c r="C353" s="29">
        <v>100000000</v>
      </c>
      <c r="D353" s="29">
        <v>222936774</v>
      </c>
    </row>
    <row r="354" spans="1:4" x14ac:dyDescent="0.25">
      <c r="A354" s="30" t="s">
        <v>374</v>
      </c>
      <c r="B354" t="s">
        <v>405</v>
      </c>
      <c r="C354" s="29">
        <v>70330113</v>
      </c>
      <c r="D354" s="29">
        <v>122415931</v>
      </c>
    </row>
    <row r="355" spans="1:4" x14ac:dyDescent="0.25">
      <c r="A355" s="30" t="s">
        <v>374</v>
      </c>
      <c r="B355" t="s">
        <v>406</v>
      </c>
      <c r="C355" s="29">
        <v>100000000</v>
      </c>
      <c r="D355" s="29">
        <v>300000000</v>
      </c>
    </row>
    <row r="356" spans="1:4" x14ac:dyDescent="0.25">
      <c r="A356" s="30" t="s">
        <v>374</v>
      </c>
      <c r="B356" t="s">
        <v>407</v>
      </c>
      <c r="C356" s="29">
        <v>50000000</v>
      </c>
      <c r="D356" s="29">
        <v>50000000</v>
      </c>
    </row>
    <row r="357" spans="1:4" x14ac:dyDescent="0.25">
      <c r="A357" s="30" t="s">
        <v>374</v>
      </c>
      <c r="B357" t="s">
        <v>408</v>
      </c>
      <c r="C357" s="29">
        <v>162437500</v>
      </c>
      <c r="D357" s="29">
        <v>162437500</v>
      </c>
    </row>
    <row r="358" spans="1:4" x14ac:dyDescent="0.25">
      <c r="A358" s="30" t="s">
        <v>374</v>
      </c>
      <c r="B358" t="s">
        <v>409</v>
      </c>
      <c r="C358" s="29">
        <v>200000000</v>
      </c>
      <c r="D358" s="29">
        <v>200000000</v>
      </c>
    </row>
    <row r="359" spans="1:4" x14ac:dyDescent="0.25">
      <c r="A359" s="30" t="s">
        <v>374</v>
      </c>
      <c r="B359" t="s">
        <v>410</v>
      </c>
      <c r="C359" s="29">
        <v>144991978</v>
      </c>
      <c r="D359" s="29">
        <v>145491978</v>
      </c>
    </row>
    <row r="360" spans="1:4" x14ac:dyDescent="0.25">
      <c r="A360" s="30" t="s">
        <v>374</v>
      </c>
      <c r="B360" t="s">
        <v>411</v>
      </c>
      <c r="C360" s="29">
        <v>164395625</v>
      </c>
      <c r="D360" s="29">
        <v>164395625</v>
      </c>
    </row>
    <row r="361" spans="1:4" x14ac:dyDescent="0.25">
      <c r="A361" s="30" t="s">
        <v>374</v>
      </c>
      <c r="B361" t="s">
        <v>412</v>
      </c>
      <c r="C361" s="29">
        <v>200000000</v>
      </c>
      <c r="D361" s="29">
        <v>224054497</v>
      </c>
    </row>
    <row r="362" spans="1:4" x14ac:dyDescent="0.25">
      <c r="A362" s="30" t="s">
        <v>374</v>
      </c>
      <c r="B362" t="s">
        <v>413</v>
      </c>
      <c r="C362" s="29">
        <v>200000000</v>
      </c>
      <c r="D362" s="29">
        <v>1390942802</v>
      </c>
    </row>
    <row r="363" spans="1:4" x14ac:dyDescent="0.25">
      <c r="A363" s="30" t="s">
        <v>374</v>
      </c>
      <c r="B363" t="s">
        <v>414</v>
      </c>
      <c r="C363" s="29">
        <v>197338492</v>
      </c>
      <c r="D363" s="29">
        <v>232262211</v>
      </c>
    </row>
    <row r="364" spans="1:4" x14ac:dyDescent="0.25">
      <c r="A364" s="30" t="s">
        <v>374</v>
      </c>
      <c r="B364" t="s">
        <v>415</v>
      </c>
      <c r="C364" s="29">
        <v>150000000</v>
      </c>
      <c r="D364" s="29">
        <v>441782115</v>
      </c>
    </row>
    <row r="365" spans="1:4" x14ac:dyDescent="0.25">
      <c r="A365" s="30" t="s">
        <v>374</v>
      </c>
      <c r="B365" t="s">
        <v>416</v>
      </c>
      <c r="C365" s="29">
        <v>200000000</v>
      </c>
      <c r="D365" s="29">
        <v>250342117</v>
      </c>
    </row>
    <row r="366" spans="1:4" x14ac:dyDescent="0.25">
      <c r="A366" s="30" t="s">
        <v>374</v>
      </c>
      <c r="B366" t="s">
        <v>417</v>
      </c>
      <c r="C366" s="29">
        <v>149848576</v>
      </c>
      <c r="D366" s="29">
        <v>155615220</v>
      </c>
    </row>
    <row r="367" spans="1:4" x14ac:dyDescent="0.25">
      <c r="A367" s="30" t="s">
        <v>374</v>
      </c>
      <c r="B367" t="s">
        <v>418</v>
      </c>
      <c r="C367" s="29">
        <v>127658142</v>
      </c>
      <c r="D367" s="29">
        <v>127658142</v>
      </c>
    </row>
    <row r="368" spans="1:4" x14ac:dyDescent="0.25">
      <c r="A368" s="30" t="s">
        <v>374</v>
      </c>
      <c r="B368" t="s">
        <v>419</v>
      </c>
      <c r="C368" s="29">
        <v>100000000</v>
      </c>
      <c r="D368" s="29">
        <v>306584087</v>
      </c>
    </row>
    <row r="369" spans="1:4" x14ac:dyDescent="0.25">
      <c r="A369" s="30" t="s">
        <v>374</v>
      </c>
      <c r="B369" t="s">
        <v>420</v>
      </c>
      <c r="C369" s="29">
        <v>133354844</v>
      </c>
      <c r="D369" s="29">
        <v>133354844</v>
      </c>
    </row>
    <row r="370" spans="1:4" x14ac:dyDescent="0.25">
      <c r="A370" s="30" t="s">
        <v>374</v>
      </c>
      <c r="B370" t="s">
        <v>421</v>
      </c>
      <c r="C370" s="29">
        <v>159118279</v>
      </c>
      <c r="D370" s="29">
        <v>159118279</v>
      </c>
    </row>
    <row r="371" spans="1:4" x14ac:dyDescent="0.25">
      <c r="A371" s="30" t="s">
        <v>374</v>
      </c>
      <c r="B371" t="s">
        <v>422</v>
      </c>
      <c r="C371" s="29">
        <v>119009972</v>
      </c>
      <c r="D371" s="29">
        <v>119009989</v>
      </c>
    </row>
    <row r="372" spans="1:4" x14ac:dyDescent="0.25">
      <c r="A372" s="30" t="s">
        <v>374</v>
      </c>
      <c r="B372" t="s">
        <v>423</v>
      </c>
      <c r="C372" s="29">
        <v>121345570</v>
      </c>
      <c r="D372" s="29">
        <v>121345570</v>
      </c>
    </row>
    <row r="373" spans="1:4" x14ac:dyDescent="0.25">
      <c r="A373" s="30" t="s">
        <v>374</v>
      </c>
      <c r="B373" t="s">
        <v>424</v>
      </c>
      <c r="C373" s="29">
        <v>200000000</v>
      </c>
      <c r="D373" s="29">
        <v>437030188</v>
      </c>
    </row>
    <row r="374" spans="1:4" x14ac:dyDescent="0.25">
      <c r="A374" s="30" t="s">
        <v>374</v>
      </c>
      <c r="B374" t="s">
        <v>425</v>
      </c>
      <c r="C374" s="29">
        <v>156582198</v>
      </c>
      <c r="D374" s="29">
        <v>377758294</v>
      </c>
    </row>
    <row r="375" spans="1:4" x14ac:dyDescent="0.25">
      <c r="A375" s="30" t="s">
        <v>374</v>
      </c>
      <c r="B375" t="s">
        <v>426</v>
      </c>
      <c r="C375" s="29">
        <v>103526039</v>
      </c>
      <c r="D375" s="29">
        <v>1850580263</v>
      </c>
    </row>
    <row r="376" spans="1:4" x14ac:dyDescent="0.25">
      <c r="A376" s="30" t="s">
        <v>374</v>
      </c>
      <c r="B376" t="s">
        <v>427</v>
      </c>
      <c r="C376" s="29">
        <v>200000000</v>
      </c>
      <c r="D376" s="29">
        <v>237017137</v>
      </c>
    </row>
    <row r="377" spans="1:4" x14ac:dyDescent="0.25">
      <c r="A377" s="30" t="s">
        <v>374</v>
      </c>
      <c r="B377" t="s">
        <v>428</v>
      </c>
      <c r="C377" s="29">
        <v>199295061</v>
      </c>
      <c r="D377" s="29">
        <v>298791429</v>
      </c>
    </row>
    <row r="378" spans="1:4" x14ac:dyDescent="0.25">
      <c r="A378" s="30" t="s">
        <v>374</v>
      </c>
      <c r="B378" t="s">
        <v>429</v>
      </c>
      <c r="C378" s="29">
        <v>153156549</v>
      </c>
      <c r="D378" s="29">
        <v>153156549</v>
      </c>
    </row>
    <row r="379" spans="1:4" x14ac:dyDescent="0.25">
      <c r="A379" s="30" t="s">
        <v>374</v>
      </c>
      <c r="B379" t="s">
        <v>430</v>
      </c>
      <c r="C379" s="29">
        <v>178218568</v>
      </c>
      <c r="D379" s="29">
        <v>178218569</v>
      </c>
    </row>
    <row r="380" spans="1:4" x14ac:dyDescent="0.25">
      <c r="A380" s="30" t="s">
        <v>374</v>
      </c>
      <c r="B380" t="s">
        <v>431</v>
      </c>
      <c r="C380" s="29">
        <v>94166650</v>
      </c>
      <c r="D380" s="29">
        <v>108792335</v>
      </c>
    </row>
    <row r="381" spans="1:4" x14ac:dyDescent="0.25">
      <c r="A381" s="30" t="s">
        <v>374</v>
      </c>
      <c r="B381" t="s">
        <v>432</v>
      </c>
      <c r="C381" s="29">
        <v>170894596</v>
      </c>
      <c r="D381" s="29">
        <v>170894596</v>
      </c>
    </row>
    <row r="382" spans="1:4" x14ac:dyDescent="0.25">
      <c r="A382" s="30" t="s">
        <v>374</v>
      </c>
      <c r="B382" t="s">
        <v>433</v>
      </c>
      <c r="C382" s="29">
        <v>200000000</v>
      </c>
      <c r="D382" s="29">
        <v>222134143</v>
      </c>
    </row>
    <row r="383" spans="1:4" x14ac:dyDescent="0.25">
      <c r="A383" s="30" t="s">
        <v>374</v>
      </c>
      <c r="B383" t="s">
        <v>434</v>
      </c>
      <c r="C383" s="29">
        <v>149837311</v>
      </c>
      <c r="D383" s="29">
        <v>149837312</v>
      </c>
    </row>
    <row r="384" spans="1:4" x14ac:dyDescent="0.25">
      <c r="A384" s="30" t="s">
        <v>374</v>
      </c>
      <c r="B384" t="s">
        <v>435</v>
      </c>
      <c r="C384" s="29">
        <v>100035148</v>
      </c>
      <c r="D384" s="29">
        <v>120015769</v>
      </c>
    </row>
    <row r="385" spans="1:4" x14ac:dyDescent="0.25">
      <c r="A385" s="30" t="s">
        <v>374</v>
      </c>
      <c r="B385" t="s">
        <v>436</v>
      </c>
      <c r="C385" s="29">
        <v>149975198</v>
      </c>
      <c r="D385" s="29">
        <v>149975199</v>
      </c>
    </row>
    <row r="386" spans="1:4" x14ac:dyDescent="0.25">
      <c r="A386" s="30" t="s">
        <v>374</v>
      </c>
      <c r="B386" t="s">
        <v>437</v>
      </c>
      <c r="C386" s="29">
        <v>54215999</v>
      </c>
      <c r="D386" s="29">
        <v>54216001</v>
      </c>
    </row>
    <row r="387" spans="1:4" x14ac:dyDescent="0.25">
      <c r="A387" s="30" t="s">
        <v>374</v>
      </c>
      <c r="B387" t="s">
        <v>438</v>
      </c>
      <c r="C387" s="29">
        <v>136276280</v>
      </c>
      <c r="D387" s="29">
        <v>172903164</v>
      </c>
    </row>
    <row r="388" spans="1:4" x14ac:dyDescent="0.25">
      <c r="A388" s="30" t="s">
        <v>374</v>
      </c>
      <c r="B388" t="s">
        <v>439</v>
      </c>
      <c r="C388" s="29">
        <v>50000000</v>
      </c>
      <c r="D388" s="29">
        <v>52000000</v>
      </c>
    </row>
    <row r="389" spans="1:4" x14ac:dyDescent="0.25">
      <c r="A389" s="30" t="s">
        <v>374</v>
      </c>
      <c r="B389" t="s">
        <v>440</v>
      </c>
      <c r="C389" s="29">
        <v>150000000</v>
      </c>
      <c r="D389" s="29">
        <v>610000000</v>
      </c>
    </row>
    <row r="390" spans="1:4" x14ac:dyDescent="0.25">
      <c r="A390" s="30" t="s">
        <v>374</v>
      </c>
      <c r="B390" t="s">
        <v>441</v>
      </c>
      <c r="C390" s="29">
        <v>99779592</v>
      </c>
      <c r="D390" s="29">
        <v>99779594</v>
      </c>
    </row>
    <row r="391" spans="1:4" x14ac:dyDescent="0.25">
      <c r="A391" s="30" t="s">
        <v>374</v>
      </c>
      <c r="B391" t="s">
        <v>442</v>
      </c>
      <c r="C391" s="29">
        <v>64750000</v>
      </c>
      <c r="D391" s="29">
        <v>259287834</v>
      </c>
    </row>
    <row r="392" spans="1:4" x14ac:dyDescent="0.25">
      <c r="A392" s="30" t="s">
        <v>374</v>
      </c>
      <c r="B392" t="s">
        <v>443</v>
      </c>
      <c r="C392" s="29">
        <v>100000000</v>
      </c>
      <c r="D392" s="29">
        <v>124010435</v>
      </c>
    </row>
    <row r="393" spans="1:4" x14ac:dyDescent="0.25">
      <c r="A393" s="30" t="s">
        <v>374</v>
      </c>
      <c r="B393" t="s">
        <v>444</v>
      </c>
      <c r="C393" s="29">
        <v>86750000</v>
      </c>
      <c r="D393" s="29">
        <v>86750000</v>
      </c>
    </row>
    <row r="394" spans="1:4" x14ac:dyDescent="0.25">
      <c r="A394" s="30" t="s">
        <v>374</v>
      </c>
      <c r="B394" t="s">
        <v>445</v>
      </c>
      <c r="C394" s="29">
        <v>70651652</v>
      </c>
      <c r="D394" s="29">
        <v>70651652</v>
      </c>
    </row>
    <row r="395" spans="1:4" x14ac:dyDescent="0.25">
      <c r="A395" s="30" t="s">
        <v>374</v>
      </c>
      <c r="B395" t="s">
        <v>446</v>
      </c>
      <c r="C395" s="29">
        <v>100000000</v>
      </c>
      <c r="D395" s="29">
        <v>100000000</v>
      </c>
    </row>
    <row r="396" spans="1:4" x14ac:dyDescent="0.25">
      <c r="A396" s="30" t="s">
        <v>374</v>
      </c>
      <c r="B396" t="s">
        <v>447</v>
      </c>
      <c r="C396" s="29">
        <v>50000000</v>
      </c>
      <c r="D396" s="29">
        <v>102046818</v>
      </c>
    </row>
    <row r="397" spans="1:4" x14ac:dyDescent="0.25">
      <c r="A397" s="30" t="s">
        <v>374</v>
      </c>
      <c r="B397" t="s">
        <v>448</v>
      </c>
      <c r="C397" s="29">
        <v>12691530</v>
      </c>
      <c r="D397" s="29">
        <v>12691530</v>
      </c>
    </row>
    <row r="398" spans="1:4" x14ac:dyDescent="0.25">
      <c r="A398" s="30" t="s">
        <v>374</v>
      </c>
      <c r="B398" t="s">
        <v>449</v>
      </c>
      <c r="C398" s="29">
        <v>100000000</v>
      </c>
      <c r="D398" s="29">
        <v>105000000</v>
      </c>
    </row>
    <row r="399" spans="1:4" x14ac:dyDescent="0.25">
      <c r="A399" s="30" t="s">
        <v>374</v>
      </c>
      <c r="B399" t="s">
        <v>450</v>
      </c>
      <c r="C399" s="29">
        <v>52387427</v>
      </c>
      <c r="D399" s="29">
        <v>55287426</v>
      </c>
    </row>
    <row r="400" spans="1:4" x14ac:dyDescent="0.25">
      <c r="A400" s="30" t="s">
        <v>374</v>
      </c>
      <c r="B400" t="s">
        <v>451</v>
      </c>
      <c r="C400" s="29">
        <v>50277883</v>
      </c>
      <c r="D400" s="29">
        <v>50277884</v>
      </c>
    </row>
    <row r="401" spans="1:4" x14ac:dyDescent="0.25">
      <c r="A401" s="30" t="s">
        <v>374</v>
      </c>
      <c r="B401" t="s">
        <v>452</v>
      </c>
      <c r="C401" s="29">
        <v>50005445</v>
      </c>
      <c r="D401" s="29">
        <v>58260005</v>
      </c>
    </row>
    <row r="402" spans="1:4" x14ac:dyDescent="0.25">
      <c r="A402" s="30" t="s">
        <v>374</v>
      </c>
      <c r="B402" t="s">
        <v>453</v>
      </c>
      <c r="C402" s="29">
        <v>137814093</v>
      </c>
      <c r="D402" s="29">
        <v>137814094</v>
      </c>
    </row>
    <row r="403" spans="1:4" x14ac:dyDescent="0.25">
      <c r="A403" s="30" t="s">
        <v>374</v>
      </c>
      <c r="B403" t="s">
        <v>454</v>
      </c>
      <c r="C403" s="29">
        <v>100000000</v>
      </c>
      <c r="D403" s="29">
        <v>103470657</v>
      </c>
    </row>
    <row r="404" spans="1:4" x14ac:dyDescent="0.25">
      <c r="A404" s="30" t="s">
        <v>374</v>
      </c>
      <c r="B404" t="s">
        <v>455</v>
      </c>
      <c r="C404" s="29">
        <v>100000000</v>
      </c>
      <c r="D404" s="29">
        <v>100000000</v>
      </c>
    </row>
    <row r="405" spans="1:4" x14ac:dyDescent="0.25">
      <c r="A405" s="30" t="s">
        <v>374</v>
      </c>
      <c r="B405" t="s">
        <v>456</v>
      </c>
      <c r="C405" s="29">
        <v>129446718</v>
      </c>
      <c r="D405" s="29">
        <v>206506000</v>
      </c>
    </row>
    <row r="406" spans="1:4" x14ac:dyDescent="0.25">
      <c r="A406" s="30" t="s">
        <v>374</v>
      </c>
      <c r="B406" t="s">
        <v>457</v>
      </c>
      <c r="C406" s="29">
        <v>100000000</v>
      </c>
      <c r="D406" s="29">
        <v>250000000</v>
      </c>
    </row>
    <row r="407" spans="1:4" x14ac:dyDescent="0.25">
      <c r="A407" s="30" t="s">
        <v>374</v>
      </c>
      <c r="B407" t="s">
        <v>458</v>
      </c>
      <c r="C407" s="29">
        <v>50440756</v>
      </c>
      <c r="D407" s="29">
        <v>50440757</v>
      </c>
    </row>
    <row r="408" spans="1:4" x14ac:dyDescent="0.25">
      <c r="A408" s="30" t="s">
        <v>374</v>
      </c>
      <c r="B408" t="s">
        <v>459</v>
      </c>
      <c r="C408" s="29">
        <v>58891445</v>
      </c>
      <c r="D408" s="29">
        <v>58891445</v>
      </c>
    </row>
    <row r="409" spans="1:4" x14ac:dyDescent="0.25">
      <c r="A409" s="30" t="s">
        <v>374</v>
      </c>
      <c r="B409" t="s">
        <v>460</v>
      </c>
      <c r="C409" s="29">
        <v>100000000</v>
      </c>
      <c r="D409" s="29">
        <v>260000000</v>
      </c>
    </row>
    <row r="410" spans="1:4" x14ac:dyDescent="0.25">
      <c r="A410" s="30" t="s">
        <v>374</v>
      </c>
      <c r="B410" t="s">
        <v>461</v>
      </c>
      <c r="C410" s="29">
        <v>150000000</v>
      </c>
      <c r="D410" s="29">
        <v>350117741</v>
      </c>
    </row>
    <row r="411" spans="1:4" x14ac:dyDescent="0.25">
      <c r="A411" s="30" t="s">
        <v>374</v>
      </c>
      <c r="B411" t="s">
        <v>462</v>
      </c>
      <c r="C411" s="29">
        <v>83505200</v>
      </c>
      <c r="D411" s="29">
        <v>85005356</v>
      </c>
    </row>
    <row r="412" spans="1:4" x14ac:dyDescent="0.25">
      <c r="A412" s="30" t="s">
        <v>374</v>
      </c>
      <c r="B412" t="s">
        <v>463</v>
      </c>
      <c r="C412" s="29">
        <v>102188807</v>
      </c>
      <c r="D412" s="29">
        <v>102188808</v>
      </c>
    </row>
    <row r="413" spans="1:4" x14ac:dyDescent="0.25">
      <c r="A413" s="30" t="s">
        <v>374</v>
      </c>
      <c r="B413" t="s">
        <v>464</v>
      </c>
      <c r="C413" s="29">
        <v>50000000</v>
      </c>
      <c r="D413" s="29">
        <v>125000000</v>
      </c>
    </row>
    <row r="414" spans="1:4" x14ac:dyDescent="0.25">
      <c r="A414" s="30" t="s">
        <v>374</v>
      </c>
      <c r="B414" t="s">
        <v>465</v>
      </c>
      <c r="C414" s="29">
        <v>241921446</v>
      </c>
      <c r="D414" s="29">
        <v>242117281</v>
      </c>
    </row>
    <row r="415" spans="1:4" x14ac:dyDescent="0.25">
      <c r="A415" s="30" t="s">
        <v>374</v>
      </c>
      <c r="B415" t="s">
        <v>466</v>
      </c>
      <c r="C415" s="29">
        <v>156000000</v>
      </c>
      <c r="D415" s="29">
        <v>170125000</v>
      </c>
    </row>
    <row r="416" spans="1:4" x14ac:dyDescent="0.25">
      <c r="A416" s="30" t="s">
        <v>374</v>
      </c>
      <c r="B416" t="s">
        <v>467</v>
      </c>
      <c r="C416" s="29">
        <v>150000000</v>
      </c>
      <c r="D416" s="29">
        <v>877260704</v>
      </c>
    </row>
    <row r="417" spans="1:4" x14ac:dyDescent="0.25">
      <c r="A417" s="30" t="s">
        <v>374</v>
      </c>
      <c r="B417" t="s">
        <v>468</v>
      </c>
      <c r="C417" s="29">
        <v>150000000</v>
      </c>
      <c r="D417" s="29">
        <v>186932420</v>
      </c>
    </row>
    <row r="418" spans="1:4" x14ac:dyDescent="0.25">
      <c r="A418" s="30" t="s">
        <v>374</v>
      </c>
      <c r="B418" t="s">
        <v>469</v>
      </c>
      <c r="C418" s="29">
        <v>175000000</v>
      </c>
      <c r="D418" s="29">
        <v>202100000</v>
      </c>
    </row>
    <row r="419" spans="1:4" x14ac:dyDescent="0.25">
      <c r="A419" s="30" t="s">
        <v>374</v>
      </c>
      <c r="B419" t="s">
        <v>470</v>
      </c>
      <c r="C419" s="29">
        <v>219820610</v>
      </c>
      <c r="D419" s="29">
        <v>224996240</v>
      </c>
    </row>
    <row r="420" spans="1:4" x14ac:dyDescent="0.25">
      <c r="A420" s="30" t="s">
        <v>374</v>
      </c>
      <c r="B420" t="s">
        <v>471</v>
      </c>
      <c r="C420" s="29">
        <v>193216762</v>
      </c>
      <c r="D420" s="29">
        <v>193216762</v>
      </c>
    </row>
    <row r="421" spans="1:4" x14ac:dyDescent="0.25">
      <c r="A421" s="30" t="s">
        <v>374</v>
      </c>
      <c r="B421" t="s">
        <v>472</v>
      </c>
      <c r="C421" s="29">
        <v>111582774</v>
      </c>
      <c r="D421" s="29">
        <v>117985214</v>
      </c>
    </row>
    <row r="422" spans="1:4" x14ac:dyDescent="0.25">
      <c r="A422" s="30" t="s">
        <v>374</v>
      </c>
      <c r="B422" t="s">
        <v>473</v>
      </c>
      <c r="C422" s="29">
        <v>50000000</v>
      </c>
      <c r="D422" s="29">
        <v>50000000</v>
      </c>
    </row>
    <row r="423" spans="1:4" x14ac:dyDescent="0.25">
      <c r="A423" s="30" t="s">
        <v>374</v>
      </c>
      <c r="B423" t="s">
        <v>474</v>
      </c>
      <c r="C423" s="29">
        <v>272325317</v>
      </c>
      <c r="D423" s="29">
        <v>365634732</v>
      </c>
    </row>
    <row r="424" spans="1:4" x14ac:dyDescent="0.25">
      <c r="A424" s="30" t="s">
        <v>374</v>
      </c>
      <c r="B424" t="s">
        <v>475</v>
      </c>
      <c r="C424" s="29">
        <v>123000000</v>
      </c>
      <c r="D424" s="29">
        <v>736000000</v>
      </c>
    </row>
    <row r="425" spans="1:4" x14ac:dyDescent="0.25">
      <c r="A425" s="30" t="s">
        <v>374</v>
      </c>
      <c r="B425" t="s">
        <v>476</v>
      </c>
      <c r="C425" s="29">
        <v>117000000</v>
      </c>
      <c r="D425" s="29">
        <v>294000000</v>
      </c>
    </row>
    <row r="426" spans="1:4" x14ac:dyDescent="0.25">
      <c r="A426" s="30" t="s">
        <v>374</v>
      </c>
      <c r="B426" t="s">
        <v>477</v>
      </c>
      <c r="C426" s="29">
        <v>60000000</v>
      </c>
      <c r="D426" s="29">
        <v>78305234</v>
      </c>
    </row>
    <row r="427" spans="1:4" x14ac:dyDescent="0.25">
      <c r="A427" s="30" t="s">
        <v>374</v>
      </c>
      <c r="B427" t="s">
        <v>478</v>
      </c>
      <c r="C427" s="29">
        <v>100000000</v>
      </c>
      <c r="D427" s="29">
        <v>100000000</v>
      </c>
    </row>
    <row r="428" spans="1:4" x14ac:dyDescent="0.25">
      <c r="A428" s="30" t="s">
        <v>374</v>
      </c>
      <c r="B428" t="s">
        <v>479</v>
      </c>
      <c r="C428" s="29">
        <v>100000000</v>
      </c>
      <c r="D428" s="29">
        <v>433618721</v>
      </c>
    </row>
    <row r="429" spans="1:4" x14ac:dyDescent="0.25">
      <c r="A429" s="30" t="s">
        <v>374</v>
      </c>
      <c r="B429" t="s">
        <v>480</v>
      </c>
      <c r="C429" s="29">
        <v>100000000</v>
      </c>
      <c r="D429" s="29">
        <v>118198740</v>
      </c>
    </row>
    <row r="430" spans="1:4" x14ac:dyDescent="0.25">
      <c r="A430" s="30" t="s">
        <v>374</v>
      </c>
      <c r="B430" t="s">
        <v>481</v>
      </c>
      <c r="C430" s="29">
        <v>50000000</v>
      </c>
      <c r="D430" s="29">
        <v>50000000</v>
      </c>
    </row>
    <row r="431" spans="1:4" x14ac:dyDescent="0.25">
      <c r="A431" s="30" t="s">
        <v>374</v>
      </c>
      <c r="B431" t="s">
        <v>482</v>
      </c>
      <c r="C431" s="29">
        <v>74999925</v>
      </c>
      <c r="D431" s="29">
        <v>107515014</v>
      </c>
    </row>
    <row r="432" spans="1:4" x14ac:dyDescent="0.25">
      <c r="A432" s="30" t="s">
        <v>374</v>
      </c>
      <c r="B432" t="s">
        <v>483</v>
      </c>
      <c r="C432" s="29">
        <v>100000000</v>
      </c>
      <c r="D432" s="29">
        <v>121186452</v>
      </c>
    </row>
    <row r="433" spans="1:4" x14ac:dyDescent="0.25">
      <c r="A433" s="30" t="s">
        <v>374</v>
      </c>
      <c r="B433" t="s">
        <v>484</v>
      </c>
      <c r="C433" s="29">
        <v>100282200</v>
      </c>
      <c r="D433" s="29">
        <v>100282200</v>
      </c>
    </row>
    <row r="434" spans="1:4" x14ac:dyDescent="0.25">
      <c r="A434" s="30" t="s">
        <v>374</v>
      </c>
      <c r="B434" t="s">
        <v>485</v>
      </c>
      <c r="C434" s="29">
        <v>58891445</v>
      </c>
      <c r="D434" s="29">
        <v>58891445</v>
      </c>
    </row>
    <row r="435" spans="1:4" x14ac:dyDescent="0.25">
      <c r="A435" s="30" t="s">
        <v>374</v>
      </c>
      <c r="B435" t="s">
        <v>486</v>
      </c>
      <c r="C435" s="29">
        <v>41338489</v>
      </c>
      <c r="D435" s="29">
        <v>52077831</v>
      </c>
    </row>
    <row r="436" spans="1:4" x14ac:dyDescent="0.25">
      <c r="A436" s="30" t="s">
        <v>374</v>
      </c>
      <c r="B436" t="s">
        <v>487</v>
      </c>
      <c r="C436" s="29">
        <v>605145856</v>
      </c>
      <c r="D436" s="29">
        <v>664291971</v>
      </c>
    </row>
    <row r="437" spans="1:4" x14ac:dyDescent="0.25">
      <c r="A437" s="30" t="s">
        <v>374</v>
      </c>
      <c r="B437" t="s">
        <v>488</v>
      </c>
      <c r="C437" s="29">
        <v>114846344</v>
      </c>
      <c r="D437" s="29">
        <v>318025927</v>
      </c>
    </row>
    <row r="438" spans="1:4" x14ac:dyDescent="0.25">
      <c r="A438" s="30" t="s">
        <v>374</v>
      </c>
      <c r="B438" t="s">
        <v>489</v>
      </c>
      <c r="C438" s="29">
        <v>400000000</v>
      </c>
      <c r="D438" s="29">
        <v>499557708</v>
      </c>
    </row>
    <row r="439" spans="1:4" x14ac:dyDescent="0.25">
      <c r="A439" s="30" t="s">
        <v>374</v>
      </c>
      <c r="B439" t="s">
        <v>490</v>
      </c>
      <c r="C439" s="29">
        <v>149658312</v>
      </c>
      <c r="D439" s="29">
        <v>225866921</v>
      </c>
    </row>
    <row r="440" spans="1:4" x14ac:dyDescent="0.25">
      <c r="A440" s="30" t="s">
        <v>374</v>
      </c>
      <c r="B440" t="s">
        <v>491</v>
      </c>
      <c r="C440" s="29">
        <v>141680442</v>
      </c>
      <c r="D440" s="29">
        <v>430356259</v>
      </c>
    </row>
    <row r="441" spans="1:4" x14ac:dyDescent="0.25">
      <c r="A441" s="30" t="s">
        <v>374</v>
      </c>
      <c r="B441" t="s">
        <v>492</v>
      </c>
      <c r="C441" s="29">
        <v>190993429</v>
      </c>
      <c r="D441" s="29">
        <v>191011639</v>
      </c>
    </row>
    <row r="442" spans="1:4" x14ac:dyDescent="0.25">
      <c r="A442" s="30" t="s">
        <v>374</v>
      </c>
      <c r="B442" t="s">
        <v>493</v>
      </c>
      <c r="C442" s="29">
        <v>50990923</v>
      </c>
      <c r="D442" s="29">
        <v>50994677</v>
      </c>
    </row>
    <row r="443" spans="1:4" x14ac:dyDescent="0.25">
      <c r="A443" s="30" t="s">
        <v>374</v>
      </c>
      <c r="B443" t="s">
        <v>494</v>
      </c>
      <c r="C443" s="29">
        <v>300141511</v>
      </c>
      <c r="D443" s="29">
        <v>624254624</v>
      </c>
    </row>
    <row r="444" spans="1:4" x14ac:dyDescent="0.25">
      <c r="A444" s="30" t="s">
        <v>374</v>
      </c>
      <c r="B444" t="s">
        <v>495</v>
      </c>
      <c r="C444" s="29">
        <v>305</v>
      </c>
      <c r="D444" s="29">
        <v>306</v>
      </c>
    </row>
    <row r="445" spans="1:4" x14ac:dyDescent="0.25">
      <c r="A445" s="30" t="s">
        <v>374</v>
      </c>
      <c r="B445" t="s">
        <v>496</v>
      </c>
      <c r="C445" s="29">
        <v>50000000</v>
      </c>
      <c r="D445" s="29">
        <v>50000000</v>
      </c>
    </row>
    <row r="446" spans="1:4" x14ac:dyDescent="0.25">
      <c r="A446" s="30" t="s">
        <v>374</v>
      </c>
      <c r="B446" t="s">
        <v>497</v>
      </c>
      <c r="C446" s="29">
        <v>316186575</v>
      </c>
      <c r="D446" s="29">
        <v>316186575</v>
      </c>
    </row>
    <row r="447" spans="1:4" x14ac:dyDescent="0.25">
      <c r="A447" s="30" t="s">
        <v>374</v>
      </c>
      <c r="B447" t="s">
        <v>498</v>
      </c>
      <c r="C447" s="29">
        <v>191235550</v>
      </c>
      <c r="D447" s="29">
        <v>191250000</v>
      </c>
    </row>
    <row r="448" spans="1:4" x14ac:dyDescent="0.25">
      <c r="A448" s="30" t="s">
        <v>374</v>
      </c>
      <c r="B448" t="s">
        <v>499</v>
      </c>
      <c r="C448" s="29">
        <v>112852900</v>
      </c>
      <c r="D448" s="29">
        <v>112852900</v>
      </c>
    </row>
    <row r="449" spans="1:4" x14ac:dyDescent="0.25">
      <c r="A449" s="30" t="s">
        <v>374</v>
      </c>
      <c r="B449" t="s">
        <v>500</v>
      </c>
      <c r="C449" s="29">
        <v>172800000</v>
      </c>
      <c r="D449" s="29">
        <v>172800000</v>
      </c>
    </row>
    <row r="450" spans="1:4" x14ac:dyDescent="0.25">
      <c r="A450" s="30" t="s">
        <v>374</v>
      </c>
      <c r="B450" t="s">
        <v>501</v>
      </c>
      <c r="C450" s="29">
        <v>103492182</v>
      </c>
      <c r="D450" s="29">
        <v>103495000</v>
      </c>
    </row>
    <row r="451" spans="1:4" x14ac:dyDescent="0.25">
      <c r="A451" s="30" t="s">
        <v>374</v>
      </c>
      <c r="B451" t="s">
        <v>502</v>
      </c>
      <c r="C451" s="29">
        <v>100282200</v>
      </c>
      <c r="D451" s="29">
        <v>100282200</v>
      </c>
    </row>
    <row r="452" spans="1:4" x14ac:dyDescent="0.25">
      <c r="A452" s="30" t="s">
        <v>374</v>
      </c>
      <c r="B452" t="s">
        <v>503</v>
      </c>
      <c r="C452" s="29">
        <v>50000000</v>
      </c>
      <c r="D452" s="29">
        <v>122267410</v>
      </c>
    </row>
    <row r="453" spans="1:4" x14ac:dyDescent="0.25">
      <c r="A453" s="30" t="s">
        <v>374</v>
      </c>
      <c r="B453" t="s">
        <v>504</v>
      </c>
      <c r="C453" s="29">
        <v>50000000</v>
      </c>
      <c r="D453" s="29">
        <v>51303855</v>
      </c>
    </row>
    <row r="454" spans="1:4" x14ac:dyDescent="0.25">
      <c r="A454" s="30" t="s">
        <v>374</v>
      </c>
      <c r="B454" t="s">
        <v>505</v>
      </c>
      <c r="C454" s="29">
        <v>60908289</v>
      </c>
      <c r="D454" s="29">
        <v>60908289</v>
      </c>
    </row>
    <row r="455" spans="1:4" x14ac:dyDescent="0.25">
      <c r="A455" s="30" t="s">
        <v>374</v>
      </c>
      <c r="B455" t="s">
        <v>506</v>
      </c>
      <c r="C455" s="29">
        <v>100000000</v>
      </c>
      <c r="D455" s="29">
        <v>1359953222</v>
      </c>
    </row>
    <row r="456" spans="1:4" x14ac:dyDescent="0.25">
      <c r="A456" s="30" t="s">
        <v>374</v>
      </c>
      <c r="B456" t="s">
        <v>507</v>
      </c>
      <c r="C456" s="29">
        <v>49817475</v>
      </c>
      <c r="D456" s="29">
        <v>49817477</v>
      </c>
    </row>
    <row r="457" spans="1:4" x14ac:dyDescent="0.25">
      <c r="A457" s="30" t="s">
        <v>374</v>
      </c>
      <c r="B457" t="s">
        <v>508</v>
      </c>
      <c r="C457" s="29">
        <v>50000000</v>
      </c>
      <c r="D457" s="29">
        <v>50000000</v>
      </c>
    </row>
    <row r="458" spans="1:4" x14ac:dyDescent="0.25">
      <c r="A458" s="30" t="s">
        <v>374</v>
      </c>
      <c r="B458" t="s">
        <v>509</v>
      </c>
      <c r="C458" s="29">
        <v>50000000</v>
      </c>
      <c r="D458" s="29">
        <v>56838682</v>
      </c>
    </row>
    <row r="459" spans="1:4" x14ac:dyDescent="0.25">
      <c r="A459" s="30" t="s">
        <v>374</v>
      </c>
      <c r="B459" t="s">
        <v>510</v>
      </c>
      <c r="C459" s="29">
        <v>52683493</v>
      </c>
      <c r="D459" s="29">
        <v>53107797</v>
      </c>
    </row>
    <row r="460" spans="1:4" x14ac:dyDescent="0.25">
      <c r="A460" s="30" t="s">
        <v>374</v>
      </c>
      <c r="B460" t="s">
        <v>511</v>
      </c>
      <c r="C460" s="29">
        <v>50000000</v>
      </c>
      <c r="D460" s="29">
        <v>50000000</v>
      </c>
    </row>
    <row r="461" spans="1:4" x14ac:dyDescent="0.25">
      <c r="A461" s="30" t="s">
        <v>374</v>
      </c>
      <c r="B461" t="s">
        <v>512</v>
      </c>
      <c r="C461" s="29">
        <v>50000000</v>
      </c>
      <c r="D461" s="29">
        <v>50000000</v>
      </c>
    </row>
    <row r="462" spans="1:4" x14ac:dyDescent="0.25">
      <c r="A462" s="30" t="s">
        <v>374</v>
      </c>
      <c r="B462" t="s">
        <v>513</v>
      </c>
      <c r="C462" s="29">
        <v>72424258</v>
      </c>
      <c r="D462" s="29">
        <v>111619119</v>
      </c>
    </row>
    <row r="463" spans="1:4" x14ac:dyDescent="0.25">
      <c r="A463" s="30" t="s">
        <v>374</v>
      </c>
      <c r="B463" t="s">
        <v>514</v>
      </c>
      <c r="C463" s="29">
        <v>49999999</v>
      </c>
      <c r="D463" s="29">
        <v>62847654</v>
      </c>
    </row>
    <row r="464" spans="1:4" x14ac:dyDescent="0.25">
      <c r="A464" s="30" t="s">
        <v>374</v>
      </c>
      <c r="B464" t="s">
        <v>515</v>
      </c>
      <c r="C464" s="29">
        <v>200000000</v>
      </c>
      <c r="D464" s="29">
        <v>320963662</v>
      </c>
    </row>
    <row r="465" spans="1:4" x14ac:dyDescent="0.25">
      <c r="A465" s="30" t="s">
        <v>374</v>
      </c>
      <c r="B465" t="s">
        <v>516</v>
      </c>
      <c r="C465" s="29">
        <v>77000000</v>
      </c>
      <c r="D465" s="29">
        <v>77000000</v>
      </c>
    </row>
    <row r="466" spans="1:4" x14ac:dyDescent="0.25">
      <c r="A466" s="30" t="s">
        <v>374</v>
      </c>
      <c r="B466" t="s">
        <v>517</v>
      </c>
      <c r="C466" s="29">
        <v>59432374</v>
      </c>
      <c r="D466" s="29">
        <v>68140614</v>
      </c>
    </row>
    <row r="467" spans="1:4" x14ac:dyDescent="0.25">
      <c r="A467" s="30" t="s">
        <v>374</v>
      </c>
      <c r="B467" t="s">
        <v>518</v>
      </c>
      <c r="C467" s="29">
        <v>53000000</v>
      </c>
      <c r="D467" s="29">
        <v>60981454</v>
      </c>
    </row>
    <row r="468" spans="1:4" x14ac:dyDescent="0.25">
      <c r="A468" s="30" t="s">
        <v>374</v>
      </c>
      <c r="B468" t="s">
        <v>519</v>
      </c>
      <c r="C468" s="29">
        <v>166864500</v>
      </c>
      <c r="D468" s="29">
        <v>170235500</v>
      </c>
    </row>
    <row r="469" spans="1:4" x14ac:dyDescent="0.25">
      <c r="A469" s="30" t="s">
        <v>374</v>
      </c>
      <c r="B469" t="s">
        <v>520</v>
      </c>
      <c r="C469" s="29">
        <v>129062500</v>
      </c>
      <c r="D469" s="29">
        <v>139738800</v>
      </c>
    </row>
    <row r="470" spans="1:4" x14ac:dyDescent="0.25">
      <c r="A470" s="30" t="s">
        <v>374</v>
      </c>
      <c r="B470" t="s">
        <v>521</v>
      </c>
      <c r="C470" s="29">
        <v>50000000</v>
      </c>
      <c r="D470" s="29">
        <v>64910959</v>
      </c>
    </row>
    <row r="471" spans="1:4" x14ac:dyDescent="0.25">
      <c r="A471" s="30" t="s">
        <v>374</v>
      </c>
      <c r="B471" t="s">
        <v>522</v>
      </c>
      <c r="C471" s="29">
        <v>50000000</v>
      </c>
      <c r="D471" s="29">
        <v>51735627</v>
      </c>
    </row>
    <row r="472" spans="1:4" x14ac:dyDescent="0.25">
      <c r="A472" s="30" t="s">
        <v>374</v>
      </c>
      <c r="B472" t="s">
        <v>523</v>
      </c>
      <c r="C472" s="29">
        <v>50000000</v>
      </c>
      <c r="D472" s="29">
        <v>50000000</v>
      </c>
    </row>
    <row r="473" spans="1:4" x14ac:dyDescent="0.25">
      <c r="A473" s="30" t="s">
        <v>374</v>
      </c>
      <c r="B473" t="s">
        <v>524</v>
      </c>
      <c r="C473" s="29">
        <v>50000000</v>
      </c>
      <c r="D473" s="29">
        <v>50000000</v>
      </c>
    </row>
    <row r="474" spans="1:4" x14ac:dyDescent="0.25">
      <c r="A474" s="30" t="s">
        <v>374</v>
      </c>
      <c r="B474" t="s">
        <v>525</v>
      </c>
      <c r="C474" s="29">
        <v>50000000</v>
      </c>
      <c r="D474" s="29">
        <v>150000000</v>
      </c>
    </row>
    <row r="475" spans="1:4" x14ac:dyDescent="0.25">
      <c r="A475" s="30" t="s">
        <v>374</v>
      </c>
      <c r="B475" t="s">
        <v>526</v>
      </c>
      <c r="C475" s="29">
        <v>49921691</v>
      </c>
      <c r="D475" s="29">
        <v>449295230</v>
      </c>
    </row>
    <row r="476" spans="1:4" x14ac:dyDescent="0.25">
      <c r="A476" s="30" t="s">
        <v>374</v>
      </c>
      <c r="B476" t="s">
        <v>527</v>
      </c>
      <c r="C476" s="29">
        <v>49569106</v>
      </c>
      <c r="D476" s="29">
        <v>94393028</v>
      </c>
    </row>
    <row r="477" spans="1:4" x14ac:dyDescent="0.25">
      <c r="A477" s="30" t="s">
        <v>374</v>
      </c>
      <c r="B477" t="s">
        <v>528</v>
      </c>
      <c r="C477" s="29">
        <v>50000000</v>
      </c>
      <c r="D477" s="29">
        <v>51092312</v>
      </c>
    </row>
    <row r="478" spans="1:4" x14ac:dyDescent="0.25">
      <c r="A478" s="30" t="s">
        <v>374</v>
      </c>
      <c r="B478" t="s">
        <v>529</v>
      </c>
      <c r="C478" s="29">
        <v>50073186</v>
      </c>
      <c r="D478" s="29">
        <v>69227632</v>
      </c>
    </row>
    <row r="479" spans="1:4" x14ac:dyDescent="0.25">
      <c r="A479" s="30" t="s">
        <v>374</v>
      </c>
      <c r="B479" t="s">
        <v>530</v>
      </c>
      <c r="C479" s="29">
        <v>50000000</v>
      </c>
      <c r="D479" s="29">
        <v>60273410</v>
      </c>
    </row>
    <row r="480" spans="1:4" x14ac:dyDescent="0.25">
      <c r="A480" s="30" t="s">
        <v>374</v>
      </c>
      <c r="B480" t="s">
        <v>531</v>
      </c>
      <c r="C480" s="29">
        <v>50000000</v>
      </c>
      <c r="D480" s="29">
        <v>51676946</v>
      </c>
    </row>
    <row r="481" spans="1:4" x14ac:dyDescent="0.25">
      <c r="A481" s="30" t="s">
        <v>374</v>
      </c>
      <c r="B481" t="s">
        <v>532</v>
      </c>
      <c r="C481" s="29">
        <v>50000000</v>
      </c>
      <c r="D481" s="29">
        <v>57395080</v>
      </c>
    </row>
    <row r="482" spans="1:4" x14ac:dyDescent="0.25">
      <c r="A482" s="30" t="s">
        <v>374</v>
      </c>
      <c r="B482" t="s">
        <v>533</v>
      </c>
      <c r="C482" s="29">
        <v>50000000</v>
      </c>
      <c r="D482" s="29">
        <v>97000077</v>
      </c>
    </row>
    <row r="483" spans="1:4" x14ac:dyDescent="0.25">
      <c r="A483" s="30" t="s">
        <v>374</v>
      </c>
      <c r="B483" t="s">
        <v>534</v>
      </c>
      <c r="C483" s="29">
        <v>50000000</v>
      </c>
      <c r="D483" s="29">
        <v>50000000</v>
      </c>
    </row>
    <row r="484" spans="1:4" x14ac:dyDescent="0.25">
      <c r="A484" s="30" t="s">
        <v>374</v>
      </c>
      <c r="B484" t="s">
        <v>535</v>
      </c>
      <c r="C484" s="29">
        <v>50000000</v>
      </c>
      <c r="D484" s="29">
        <v>174318238</v>
      </c>
    </row>
    <row r="485" spans="1:4" x14ac:dyDescent="0.25">
      <c r="A485" s="30" t="s">
        <v>374</v>
      </c>
      <c r="B485" t="s">
        <v>536</v>
      </c>
      <c r="C485" s="29">
        <v>50000000</v>
      </c>
      <c r="D485" s="29">
        <v>59192038</v>
      </c>
    </row>
    <row r="486" spans="1:4" x14ac:dyDescent="0.25">
      <c r="A486" s="30" t="s">
        <v>374</v>
      </c>
      <c r="B486" t="s">
        <v>537</v>
      </c>
      <c r="C486" s="29">
        <v>73350380</v>
      </c>
      <c r="D486" s="29">
        <v>75185216</v>
      </c>
    </row>
    <row r="487" spans="1:4" x14ac:dyDescent="0.25">
      <c r="A487" s="30" t="s">
        <v>374</v>
      </c>
      <c r="B487" t="s">
        <v>538</v>
      </c>
      <c r="C487" s="29">
        <v>50000000</v>
      </c>
      <c r="D487" s="29">
        <v>140103890</v>
      </c>
    </row>
    <row r="488" spans="1:4" x14ac:dyDescent="0.25">
      <c r="A488" s="30" t="s">
        <v>374</v>
      </c>
      <c r="B488" t="s">
        <v>539</v>
      </c>
      <c r="C488" s="29">
        <v>56115775</v>
      </c>
      <c r="D488" s="29">
        <v>84173662</v>
      </c>
    </row>
    <row r="489" spans="1:4" x14ac:dyDescent="0.25">
      <c r="A489" s="30" t="s">
        <v>374</v>
      </c>
      <c r="B489" t="s">
        <v>540</v>
      </c>
      <c r="C489" s="29">
        <v>70157573</v>
      </c>
      <c r="D489" s="29">
        <v>73240439</v>
      </c>
    </row>
    <row r="490" spans="1:4" x14ac:dyDescent="0.25">
      <c r="A490" s="30" t="s">
        <v>374</v>
      </c>
      <c r="B490" t="s">
        <v>541</v>
      </c>
      <c r="C490" s="29">
        <v>50000000</v>
      </c>
      <c r="D490" s="29">
        <v>500200000</v>
      </c>
    </row>
    <row r="491" spans="1:4" x14ac:dyDescent="0.25">
      <c r="A491" s="30" t="s">
        <v>374</v>
      </c>
      <c r="B491" t="s">
        <v>542</v>
      </c>
      <c r="C491" s="29">
        <v>50000000</v>
      </c>
      <c r="D491" s="29">
        <v>129322049</v>
      </c>
    </row>
    <row r="492" spans="1:4" x14ac:dyDescent="0.25">
      <c r="A492" s="30" t="s">
        <v>374</v>
      </c>
      <c r="B492" t="s">
        <v>543</v>
      </c>
      <c r="C492" s="29">
        <v>103294514</v>
      </c>
      <c r="D492" s="29">
        <v>387660977</v>
      </c>
    </row>
    <row r="493" spans="1:4" x14ac:dyDescent="0.25">
      <c r="A493" s="30" t="s">
        <v>374</v>
      </c>
      <c r="B493" t="s">
        <v>544</v>
      </c>
      <c r="C493" s="29">
        <v>100000000</v>
      </c>
      <c r="D493" s="29">
        <v>100000000</v>
      </c>
    </row>
    <row r="494" spans="1:4" x14ac:dyDescent="0.25">
      <c r="A494" s="30" t="s">
        <v>374</v>
      </c>
      <c r="B494" t="s">
        <v>545</v>
      </c>
      <c r="C494" s="29">
        <v>70110937</v>
      </c>
      <c r="D494" s="29">
        <v>70115000</v>
      </c>
    </row>
    <row r="495" spans="1:4" x14ac:dyDescent="0.25">
      <c r="A495" s="30" t="s">
        <v>374</v>
      </c>
      <c r="B495" t="s">
        <v>546</v>
      </c>
      <c r="C495" s="29">
        <v>500000</v>
      </c>
      <c r="D495" s="29">
        <v>500000</v>
      </c>
    </row>
    <row r="496" spans="1:4" x14ac:dyDescent="0.25">
      <c r="A496" s="30" t="s">
        <v>374</v>
      </c>
      <c r="B496" t="s">
        <v>547</v>
      </c>
      <c r="C496" s="29">
        <v>52000000</v>
      </c>
      <c r="D496" s="29">
        <v>52000000</v>
      </c>
    </row>
    <row r="497" spans="1:4" x14ac:dyDescent="0.25">
      <c r="A497" s="30" t="s">
        <v>374</v>
      </c>
      <c r="B497" t="s">
        <v>548</v>
      </c>
      <c r="C497" s="29">
        <v>99996745</v>
      </c>
      <c r="D497" s="29">
        <v>99996747</v>
      </c>
    </row>
    <row r="498" spans="1:4" x14ac:dyDescent="0.25">
      <c r="A498" s="30" t="s">
        <v>374</v>
      </c>
      <c r="B498" t="s">
        <v>549</v>
      </c>
      <c r="C498" s="29">
        <v>200000000</v>
      </c>
      <c r="D498" s="29">
        <v>480000000</v>
      </c>
    </row>
    <row r="499" spans="1:4" x14ac:dyDescent="0.25">
      <c r="A499" s="30" t="s">
        <v>374</v>
      </c>
      <c r="B499" t="s">
        <v>550</v>
      </c>
      <c r="C499" s="29">
        <v>50634586</v>
      </c>
      <c r="D499" s="29">
        <v>50634586</v>
      </c>
    </row>
    <row r="500" spans="1:4" x14ac:dyDescent="0.25">
      <c r="A500" s="30" t="s">
        <v>374</v>
      </c>
      <c r="B500" t="s">
        <v>551</v>
      </c>
      <c r="C500" s="29">
        <v>200000000</v>
      </c>
      <c r="D500" s="29">
        <v>1240172135</v>
      </c>
    </row>
    <row r="501" spans="1:4" x14ac:dyDescent="0.25">
      <c r="A501" s="30" t="s">
        <v>374</v>
      </c>
      <c r="B501" t="s">
        <v>552</v>
      </c>
      <c r="C501" s="29">
        <v>200000000</v>
      </c>
      <c r="D501" s="29">
        <v>304540145</v>
      </c>
    </row>
    <row r="502" spans="1:4" x14ac:dyDescent="0.25">
      <c r="A502" s="30" t="s">
        <v>374</v>
      </c>
      <c r="B502" t="s">
        <v>553</v>
      </c>
      <c r="C502" s="29">
        <v>186629206</v>
      </c>
      <c r="D502" s="29">
        <v>621371072</v>
      </c>
    </row>
    <row r="503" spans="1:4" x14ac:dyDescent="0.25">
      <c r="A503" s="30" t="s">
        <v>374</v>
      </c>
      <c r="B503" t="s">
        <v>554</v>
      </c>
      <c r="C503" s="29">
        <v>50000000</v>
      </c>
      <c r="D503" s="29">
        <v>50000000</v>
      </c>
    </row>
    <row r="504" spans="1:4" x14ac:dyDescent="0.25">
      <c r="A504" s="30" t="s">
        <v>374</v>
      </c>
      <c r="B504" t="s">
        <v>555</v>
      </c>
      <c r="C504" s="29">
        <v>164623804</v>
      </c>
      <c r="D504" s="29">
        <v>164623804</v>
      </c>
    </row>
    <row r="505" spans="1:4" x14ac:dyDescent="0.25">
      <c r="A505" s="30" t="s">
        <v>374</v>
      </c>
      <c r="B505" t="s">
        <v>556</v>
      </c>
      <c r="C505" s="29">
        <v>50000000</v>
      </c>
      <c r="D505" s="29">
        <v>56121389</v>
      </c>
    </row>
    <row r="506" spans="1:4" x14ac:dyDescent="0.25">
      <c r="A506" s="30" t="s">
        <v>374</v>
      </c>
      <c r="B506" t="s">
        <v>557</v>
      </c>
      <c r="C506" s="29">
        <v>56747670</v>
      </c>
      <c r="D506" s="29">
        <v>56747671</v>
      </c>
    </row>
    <row r="507" spans="1:4" x14ac:dyDescent="0.25">
      <c r="A507" s="30" t="s">
        <v>374</v>
      </c>
      <c r="B507" t="s">
        <v>558</v>
      </c>
      <c r="C507" s="29">
        <v>99202603</v>
      </c>
      <c r="D507" s="29">
        <v>168607403</v>
      </c>
    </row>
    <row r="508" spans="1:4" x14ac:dyDescent="0.25">
      <c r="A508" s="30" t="s">
        <v>374</v>
      </c>
      <c r="B508" t="s">
        <v>559</v>
      </c>
      <c r="C508" s="29">
        <v>70418597</v>
      </c>
      <c r="D508" s="29">
        <v>70706233</v>
      </c>
    </row>
    <row r="509" spans="1:4" x14ac:dyDescent="0.25">
      <c r="A509" s="30" t="s">
        <v>374</v>
      </c>
      <c r="B509" t="s">
        <v>560</v>
      </c>
      <c r="C509" s="29">
        <v>57744831</v>
      </c>
      <c r="D509" s="29">
        <v>57744831</v>
      </c>
    </row>
    <row r="510" spans="1:4" x14ac:dyDescent="0.25">
      <c r="A510" s="30" t="s">
        <v>374</v>
      </c>
      <c r="B510" t="s">
        <v>561</v>
      </c>
      <c r="C510" s="29">
        <v>52978275</v>
      </c>
      <c r="D510" s="29">
        <v>55173237</v>
      </c>
    </row>
    <row r="511" spans="1:4" x14ac:dyDescent="0.25">
      <c r="A511" s="30" t="s">
        <v>374</v>
      </c>
      <c r="B511" t="s">
        <v>562</v>
      </c>
      <c r="C511" s="29">
        <v>50000000</v>
      </c>
      <c r="D511" s="29">
        <v>50000000</v>
      </c>
    </row>
    <row r="512" spans="1:4" x14ac:dyDescent="0.25">
      <c r="A512" s="30" t="s">
        <v>374</v>
      </c>
      <c r="B512" t="s">
        <v>563</v>
      </c>
      <c r="C512" s="29">
        <v>103294514</v>
      </c>
      <c r="D512" s="29">
        <v>387660977</v>
      </c>
    </row>
    <row r="513" spans="1:4" x14ac:dyDescent="0.25">
      <c r="A513" s="30" t="s">
        <v>374</v>
      </c>
      <c r="B513" t="s">
        <v>564</v>
      </c>
      <c r="C513" s="29">
        <v>54409880</v>
      </c>
      <c r="D513" s="29">
        <v>54409880</v>
      </c>
    </row>
    <row r="514" spans="1:4" x14ac:dyDescent="0.25">
      <c r="A514" s="30" t="s">
        <v>374</v>
      </c>
      <c r="B514" t="s">
        <v>565</v>
      </c>
      <c r="C514" s="29">
        <v>50000000</v>
      </c>
      <c r="D514" s="29">
        <v>107600000</v>
      </c>
    </row>
    <row r="515" spans="1:4" x14ac:dyDescent="0.25">
      <c r="A515" s="30" t="s">
        <v>374</v>
      </c>
      <c r="B515" t="s">
        <v>566</v>
      </c>
      <c r="C515" s="29">
        <v>100000000</v>
      </c>
      <c r="D515" s="29">
        <v>550000000</v>
      </c>
    </row>
    <row r="516" spans="1:4" x14ac:dyDescent="0.25">
      <c r="A516" s="30" t="s">
        <v>374</v>
      </c>
      <c r="B516" t="s">
        <v>567</v>
      </c>
      <c r="C516" s="29">
        <v>99935872</v>
      </c>
      <c r="D516" s="29">
        <v>99935873</v>
      </c>
    </row>
    <row r="517" spans="1:4" x14ac:dyDescent="0.25">
      <c r="A517" s="30" t="s">
        <v>374</v>
      </c>
      <c r="B517" t="s">
        <v>568</v>
      </c>
      <c r="C517" s="29">
        <v>82036444</v>
      </c>
      <c r="D517" s="29">
        <v>82050000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DE-FOA-000XXXX</vt:lpstr>
      <vt:lpstr>Sheet2</vt:lpstr>
      <vt:lpstr>'DE-FOA-000XXXX'!Print_Area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White III, Richard A. (CONTR)</dc:creator>
  <cp:lastModifiedBy>Gabriel Cabrera</cp:lastModifiedBy>
  <dcterms:created xsi:type="dcterms:W3CDTF">2024-01-16T19:27:04Z</dcterms:created>
  <dcterms:modified xsi:type="dcterms:W3CDTF">2025-01-11T04:30:00Z</dcterms:modified>
</cp:coreProperties>
</file>